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BaiduSyncdisk\pep-8-ALC\Dynamo+Revit -返修1\人工设计\"/>
    </mc:Choice>
  </mc:AlternateContent>
  <xr:revisionPtr revIDLastSave="0" documentId="13_ncr:1_{8132B06D-88F5-4BB0-8EE4-77B1FAEDF6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line_ALC" sheetId="13" r:id="rId1"/>
    <sheet name="Sheet1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6" i="1" l="1"/>
  <c r="R15" i="1"/>
  <c r="R16" i="1"/>
  <c r="R17" i="1"/>
  <c r="R18" i="1"/>
  <c r="U18" i="1" s="1"/>
  <c r="R19" i="1"/>
  <c r="T19" i="1" s="1"/>
  <c r="R20" i="1"/>
  <c r="R21" i="1"/>
  <c r="U21" i="1" s="1"/>
  <c r="R22" i="1"/>
  <c r="R23" i="1"/>
  <c r="T23" i="1" s="1"/>
  <c r="R24" i="1"/>
  <c r="R25" i="1"/>
  <c r="T25" i="1" s="1"/>
  <c r="R26" i="1"/>
  <c r="R27" i="1"/>
  <c r="R28" i="1"/>
  <c r="U28" i="1" s="1"/>
  <c r="R29" i="1"/>
  <c r="T29" i="1" s="1"/>
  <c r="R30" i="1"/>
  <c r="U30" i="1" s="1"/>
  <c r="R31" i="1"/>
  <c r="U31" i="1" s="1"/>
  <c r="R32" i="1"/>
  <c r="U32" i="1" s="1"/>
  <c r="R33" i="1"/>
  <c r="U33" i="1" s="1"/>
  <c r="R34" i="1"/>
  <c r="U34" i="1" s="1"/>
  <c r="R35" i="1"/>
  <c r="T15" i="1"/>
  <c r="U26" i="1"/>
  <c r="U27" i="1"/>
  <c r="U35" i="1"/>
  <c r="AB83" i="1"/>
  <c r="Z83" i="1"/>
  <c r="R83" i="1"/>
  <c r="U83" i="1" s="1"/>
  <c r="Z82" i="1"/>
  <c r="R82" i="1"/>
  <c r="U82" i="1" s="1"/>
  <c r="Z81" i="1"/>
  <c r="R81" i="1"/>
  <c r="U81" i="1" s="1"/>
  <c r="Z80" i="1"/>
  <c r="R80" i="1"/>
  <c r="U80" i="1" s="1"/>
  <c r="Z79" i="1"/>
  <c r="U79" i="1"/>
  <c r="T79" i="1"/>
  <c r="R79" i="1"/>
  <c r="Z78" i="1"/>
  <c r="R78" i="1"/>
  <c r="T78" i="1" s="1"/>
  <c r="R77" i="1"/>
  <c r="U77" i="1" s="1"/>
  <c r="Z76" i="1"/>
  <c r="R76" i="1"/>
  <c r="U76" i="1" s="1"/>
  <c r="U75" i="1"/>
  <c r="R75" i="1"/>
  <c r="T75" i="1" s="1"/>
  <c r="R74" i="1"/>
  <c r="U74" i="1" s="1"/>
  <c r="Z73" i="1"/>
  <c r="U73" i="1"/>
  <c r="R73" i="1"/>
  <c r="T73" i="1" s="1"/>
  <c r="AB72" i="1"/>
  <c r="R72" i="1"/>
  <c r="T72" i="1" s="1"/>
  <c r="Z71" i="1"/>
  <c r="R71" i="1"/>
  <c r="U71" i="1" s="1"/>
  <c r="Z70" i="1"/>
  <c r="U70" i="1"/>
  <c r="T70" i="1"/>
  <c r="R70" i="1"/>
  <c r="AB69" i="1"/>
  <c r="Z69" i="1"/>
  <c r="R69" i="1"/>
  <c r="U69" i="1" s="1"/>
  <c r="AG68" i="1"/>
  <c r="Z68" i="1"/>
  <c r="R68" i="1"/>
  <c r="U68" i="1" s="1"/>
  <c r="Z67" i="1"/>
  <c r="R67" i="1"/>
  <c r="U67" i="1" s="1"/>
  <c r="AG66" i="1"/>
  <c r="AF66" i="1"/>
  <c r="AF68" i="1" s="1"/>
  <c r="AE66" i="1"/>
  <c r="AE68" i="1" s="1"/>
  <c r="Z66" i="1"/>
  <c r="R66" i="1"/>
  <c r="U66" i="1" s="1"/>
  <c r="Z65" i="1"/>
  <c r="U65" i="1"/>
  <c r="T65" i="1"/>
  <c r="R65" i="1"/>
  <c r="Z64" i="1"/>
  <c r="R64" i="1"/>
  <c r="U64" i="1" s="1"/>
  <c r="Z63" i="1"/>
  <c r="R63" i="1"/>
  <c r="U63" i="1" s="1"/>
  <c r="R62" i="1"/>
  <c r="T62" i="1" s="1"/>
  <c r="Z61" i="1"/>
  <c r="R61" i="1"/>
  <c r="U61" i="1" s="1"/>
  <c r="R60" i="1"/>
  <c r="U60" i="1" s="1"/>
  <c r="Z59" i="1"/>
  <c r="R59" i="1"/>
  <c r="U59" i="1" s="1"/>
  <c r="R58" i="1"/>
  <c r="U58" i="1" s="1"/>
  <c r="Z57" i="1"/>
  <c r="R57" i="1"/>
  <c r="U57" i="1" s="1"/>
  <c r="R56" i="1"/>
  <c r="U56" i="1" s="1"/>
  <c r="Z55" i="1"/>
  <c r="R55" i="1"/>
  <c r="U55" i="1" s="1"/>
  <c r="R54" i="1"/>
  <c r="U54" i="1" s="1"/>
  <c r="R53" i="1"/>
  <c r="U53" i="1" s="1"/>
  <c r="Z52" i="1"/>
  <c r="R52" i="1"/>
  <c r="U52" i="1" s="1"/>
  <c r="R51" i="1"/>
  <c r="U51" i="1" s="1"/>
  <c r="R50" i="1"/>
  <c r="U50" i="1" s="1"/>
  <c r="AB36" i="1"/>
  <c r="AA36" i="1"/>
  <c r="Z36" i="1"/>
  <c r="Y36" i="1"/>
  <c r="X36" i="1"/>
  <c r="AC35" i="1"/>
  <c r="AA35" i="1"/>
  <c r="AA34" i="1"/>
  <c r="AA33" i="1"/>
  <c r="AA32" i="1"/>
  <c r="AA31" i="1"/>
  <c r="AA30" i="1"/>
  <c r="T30" i="1"/>
  <c r="U29" i="1"/>
  <c r="AA28" i="1"/>
  <c r="AA25" i="1"/>
  <c r="AC24" i="1"/>
  <c r="U24" i="1"/>
  <c r="T24" i="1"/>
  <c r="AA23" i="1"/>
  <c r="U23" i="1"/>
  <c r="AA22" i="1"/>
  <c r="U22" i="1"/>
  <c r="T22" i="1"/>
  <c r="AC21" i="1"/>
  <c r="AA21" i="1"/>
  <c r="AA20" i="1"/>
  <c r="U20" i="1"/>
  <c r="T20" i="1"/>
  <c r="AA19" i="1"/>
  <c r="U19" i="1"/>
  <c r="AA18" i="1"/>
  <c r="AA17" i="1"/>
  <c r="U17" i="1"/>
  <c r="T17" i="1"/>
  <c r="AA16" i="1"/>
  <c r="U16" i="1"/>
  <c r="T16" i="1"/>
  <c r="AA15" i="1"/>
  <c r="U14" i="1"/>
  <c r="T14" i="1"/>
  <c r="R14" i="1"/>
  <c r="AA13" i="1"/>
  <c r="U13" i="1"/>
  <c r="T13" i="1"/>
  <c r="R13" i="1"/>
  <c r="AF20" i="1"/>
  <c r="U12" i="1"/>
  <c r="T12" i="1"/>
  <c r="R12" i="1"/>
  <c r="AA11" i="1"/>
  <c r="U11" i="1"/>
  <c r="T11" i="1"/>
  <c r="R11" i="1"/>
  <c r="AH18" i="1"/>
  <c r="AH20" i="1" s="1"/>
  <c r="AG18" i="1"/>
  <c r="AG20" i="1" s="1"/>
  <c r="AF18" i="1"/>
  <c r="U10" i="1"/>
  <c r="T10" i="1"/>
  <c r="R10" i="1"/>
  <c r="AI17" i="1"/>
  <c r="AA9" i="1"/>
  <c r="U9" i="1"/>
  <c r="T9" i="1"/>
  <c r="R9" i="1"/>
  <c r="AI16" i="1"/>
  <c r="U8" i="1"/>
  <c r="T8" i="1"/>
  <c r="R8" i="1"/>
  <c r="AA7" i="1"/>
  <c r="U7" i="1"/>
  <c r="T7" i="1"/>
  <c r="R7" i="1"/>
  <c r="U6" i="1"/>
  <c r="T6" i="1"/>
  <c r="R6" i="1"/>
  <c r="U5" i="1"/>
  <c r="T5" i="1"/>
  <c r="R5" i="1"/>
  <c r="AA4" i="1"/>
  <c r="U4" i="1"/>
  <c r="T4" i="1"/>
  <c r="R4" i="1"/>
  <c r="U3" i="1"/>
  <c r="T3" i="1"/>
  <c r="R3" i="1"/>
  <c r="U2" i="1"/>
  <c r="T2" i="1"/>
  <c r="R2" i="1"/>
  <c r="U25" i="1" l="1"/>
  <c r="T18" i="1"/>
  <c r="T36" i="1"/>
  <c r="T31" i="1"/>
  <c r="T33" i="1"/>
  <c r="U15" i="1"/>
  <c r="U36" i="1" s="1"/>
  <c r="T32" i="1"/>
  <c r="T26" i="1"/>
  <c r="T34" i="1"/>
  <c r="T27" i="1"/>
  <c r="T21" i="1"/>
  <c r="T28" i="1"/>
  <c r="T35" i="1"/>
  <c r="T54" i="1"/>
  <c r="T50" i="1"/>
  <c r="T56" i="1"/>
  <c r="T76" i="1"/>
  <c r="U62" i="1"/>
  <c r="T57" i="1"/>
  <c r="T67" i="1"/>
  <c r="T63" i="1"/>
  <c r="T77" i="1"/>
  <c r="T58" i="1"/>
  <c r="T68" i="1"/>
  <c r="T64" i="1"/>
  <c r="U72" i="1"/>
  <c r="T83" i="1"/>
  <c r="U78" i="1"/>
  <c r="T53" i="1"/>
  <c r="T81" i="1"/>
  <c r="T51" i="1"/>
  <c r="T71" i="1"/>
  <c r="T82" i="1"/>
  <c r="T52" i="1"/>
  <c r="T59" i="1"/>
  <c r="T60" i="1"/>
  <c r="T69" i="1"/>
  <c r="T74" i="1"/>
  <c r="T55" i="1"/>
  <c r="T66" i="1"/>
  <c r="T80" i="1"/>
  <c r="T61" i="1"/>
</calcChain>
</file>

<file path=xl/sharedStrings.xml><?xml version="1.0" encoding="utf-8"?>
<sst xmlns="http://schemas.openxmlformats.org/spreadsheetml/2006/main" count="61" uniqueCount="25">
  <si>
    <t>StartX</t>
  </si>
  <si>
    <t>StartY</t>
  </si>
  <si>
    <t>StartZ</t>
  </si>
  <si>
    <t>EndX</t>
  </si>
  <si>
    <t>EndY</t>
  </si>
  <si>
    <t>EndZ</t>
  </si>
  <si>
    <t>Height</t>
  </si>
  <si>
    <t>Length</t>
  </si>
  <si>
    <t>SortedHeight</t>
  </si>
  <si>
    <t>SegSum</t>
  </si>
  <si>
    <t>NumStd</t>
  </si>
  <si>
    <r>
      <t>W</t>
    </r>
    <r>
      <rPr>
        <vertAlign val="subscript"/>
        <sz val="11"/>
        <color theme="1"/>
        <rFont val="Times New Roman"/>
        <family val="1"/>
      </rPr>
      <t>StdPnl</t>
    </r>
  </si>
  <si>
    <r>
      <t>n</t>
    </r>
    <r>
      <rPr>
        <i/>
        <vertAlign val="subscript"/>
        <sz val="11"/>
        <color theme="1"/>
        <rFont val="Times New Roman"/>
        <family val="1"/>
      </rPr>
      <t>StdPnl</t>
    </r>
  </si>
  <si>
    <r>
      <t>Len</t>
    </r>
    <r>
      <rPr>
        <i/>
        <vertAlign val="subscript"/>
        <sz val="11"/>
        <color theme="1"/>
        <rFont val="Times New Roman"/>
        <family val="1"/>
      </rPr>
      <t>spare</t>
    </r>
  </si>
  <si>
    <t>SortedSeg</t>
    <phoneticPr fontId="7" type="noConversion"/>
  </si>
  <si>
    <t>SumStd</t>
    <phoneticPr fontId="7" type="noConversion"/>
  </si>
  <si>
    <t>numBody</t>
    <phoneticPr fontId="7" type="noConversion"/>
  </si>
  <si>
    <t>Items</t>
    <phoneticPr fontId="7" type="noConversion"/>
  </si>
  <si>
    <t>numStd1</t>
    <phoneticPr fontId="7" type="noConversion"/>
  </si>
  <si>
    <t>nunStd2</t>
    <phoneticPr fontId="7" type="noConversion"/>
  </si>
  <si>
    <t>sumAllStd</t>
    <phoneticPr fontId="7" type="noConversion"/>
  </si>
  <si>
    <t>panelAbody</t>
    <phoneticPr fontId="7" type="noConversion"/>
  </si>
  <si>
    <t>SortedSegFollow</t>
    <phoneticPr fontId="7" type="noConversion"/>
  </si>
  <si>
    <t>NumStd</t>
    <phoneticPr fontId="7" type="noConversion"/>
  </si>
  <si>
    <t>NO.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</si>
</sst>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theme="8" tint="0.39994506668294322"/>
      <name val="Times New Roman"/>
      <family val="1"/>
    </font>
    <font>
      <i/>
      <vertAlign val="sub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aiduSyncdisk\pep-8-ALC\Dynamo+Revit%20-&#36820;&#20462;1\&#20154;&#24037;&#35774;&#35745;\True_Baselines_paper_Vanke_&#20154;&#24037;&#35774;&#35745;.xlsx" TargetMode="External"/><Relationship Id="rId1" Type="http://schemas.openxmlformats.org/officeDocument/2006/relationships/externalLinkPath" Target="True_Baselines_paper_Vanke_&#20154;&#24037;&#35774;&#357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_ALC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13" workbookViewId="0">
      <selection activeCell="A2" sqref="A2:G35"/>
    </sheetView>
  </sheetViews>
  <sheetFormatPr defaultColWidth="9"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15800</v>
      </c>
      <c r="B2">
        <v>30400</v>
      </c>
      <c r="C2">
        <v>0</v>
      </c>
      <c r="D2">
        <v>15800</v>
      </c>
      <c r="E2">
        <v>31850</v>
      </c>
      <c r="F2">
        <v>0</v>
      </c>
      <c r="G2">
        <v>2500</v>
      </c>
    </row>
    <row r="3" spans="1:7" x14ac:dyDescent="0.25">
      <c r="A3">
        <v>15700</v>
      </c>
      <c r="B3">
        <v>30200</v>
      </c>
      <c r="C3">
        <v>0</v>
      </c>
      <c r="D3">
        <v>15700</v>
      </c>
      <c r="E3">
        <v>30400</v>
      </c>
      <c r="F3">
        <v>0</v>
      </c>
      <c r="G3">
        <v>2500</v>
      </c>
    </row>
    <row r="4" spans="1:7" x14ac:dyDescent="0.25">
      <c r="A4">
        <v>15800</v>
      </c>
      <c r="B4">
        <v>26600</v>
      </c>
      <c r="C4">
        <v>0</v>
      </c>
      <c r="D4">
        <v>18750</v>
      </c>
      <c r="E4">
        <v>26600</v>
      </c>
      <c r="F4">
        <v>0</v>
      </c>
      <c r="G4">
        <v>2600</v>
      </c>
    </row>
    <row r="5" spans="1:7" x14ac:dyDescent="0.25">
      <c r="A5">
        <v>15800</v>
      </c>
      <c r="B5">
        <v>26600</v>
      </c>
      <c r="C5">
        <v>0</v>
      </c>
      <c r="D5">
        <v>15800</v>
      </c>
      <c r="E5">
        <v>24950</v>
      </c>
      <c r="F5">
        <v>0</v>
      </c>
      <c r="G5">
        <v>2500</v>
      </c>
    </row>
    <row r="6" spans="1:7" x14ac:dyDescent="0.25">
      <c r="A6">
        <v>15800</v>
      </c>
      <c r="B6">
        <v>26600</v>
      </c>
      <c r="C6">
        <v>0</v>
      </c>
      <c r="D6">
        <v>15800</v>
      </c>
      <c r="E6">
        <v>28000</v>
      </c>
      <c r="F6">
        <v>0</v>
      </c>
      <c r="G6">
        <v>2500</v>
      </c>
    </row>
    <row r="7" spans="1:7" x14ac:dyDescent="0.25">
      <c r="A7">
        <v>14200</v>
      </c>
      <c r="B7">
        <v>20350</v>
      </c>
      <c r="C7">
        <v>0</v>
      </c>
      <c r="D7">
        <v>14200</v>
      </c>
      <c r="E7">
        <v>22300</v>
      </c>
      <c r="F7">
        <v>0</v>
      </c>
      <c r="G7">
        <v>3000</v>
      </c>
    </row>
    <row r="8" spans="1:7" x14ac:dyDescent="0.25">
      <c r="A8">
        <v>14200</v>
      </c>
      <c r="B8">
        <v>22300</v>
      </c>
      <c r="C8">
        <v>0</v>
      </c>
      <c r="D8">
        <v>14500</v>
      </c>
      <c r="E8">
        <v>22300</v>
      </c>
      <c r="F8">
        <v>0</v>
      </c>
      <c r="G8">
        <v>3000</v>
      </c>
    </row>
    <row r="9" spans="1:7" x14ac:dyDescent="0.25">
      <c r="A9">
        <v>14500</v>
      </c>
      <c r="B9">
        <v>22300</v>
      </c>
      <c r="C9">
        <v>0</v>
      </c>
      <c r="D9">
        <v>14500</v>
      </c>
      <c r="E9">
        <v>23500</v>
      </c>
      <c r="F9">
        <v>0</v>
      </c>
      <c r="G9">
        <v>3000</v>
      </c>
    </row>
    <row r="10" spans="1:7" x14ac:dyDescent="0.25">
      <c r="A10">
        <v>3200</v>
      </c>
      <c r="B10">
        <v>14100</v>
      </c>
      <c r="C10">
        <v>0</v>
      </c>
      <c r="D10">
        <v>1750</v>
      </c>
      <c r="E10">
        <v>14100</v>
      </c>
      <c r="F10">
        <v>0</v>
      </c>
      <c r="G10">
        <v>2500</v>
      </c>
    </row>
    <row r="11" spans="1:7" x14ac:dyDescent="0.25">
      <c r="A11">
        <v>3400</v>
      </c>
      <c r="B11">
        <v>14000</v>
      </c>
      <c r="C11">
        <v>0</v>
      </c>
      <c r="D11">
        <v>3200</v>
      </c>
      <c r="E11">
        <v>14000</v>
      </c>
      <c r="F11">
        <v>0</v>
      </c>
      <c r="G11">
        <v>2500</v>
      </c>
    </row>
    <row r="12" spans="1:7" x14ac:dyDescent="0.25">
      <c r="A12">
        <v>7000</v>
      </c>
      <c r="B12">
        <v>14100</v>
      </c>
      <c r="C12">
        <v>0</v>
      </c>
      <c r="D12">
        <v>7000</v>
      </c>
      <c r="E12">
        <v>17050</v>
      </c>
      <c r="F12">
        <v>0</v>
      </c>
      <c r="G12">
        <v>2600</v>
      </c>
    </row>
    <row r="13" spans="1:7" x14ac:dyDescent="0.25">
      <c r="A13">
        <v>7000</v>
      </c>
      <c r="B13">
        <v>14100</v>
      </c>
      <c r="C13">
        <v>0</v>
      </c>
      <c r="D13">
        <v>8650</v>
      </c>
      <c r="E13">
        <v>14100</v>
      </c>
      <c r="F13">
        <v>0</v>
      </c>
      <c r="G13">
        <v>2500</v>
      </c>
    </row>
    <row r="14" spans="1:7" x14ac:dyDescent="0.25">
      <c r="A14">
        <v>7000</v>
      </c>
      <c r="B14">
        <v>14100</v>
      </c>
      <c r="C14">
        <v>0</v>
      </c>
      <c r="D14">
        <v>5600</v>
      </c>
      <c r="E14">
        <v>14100</v>
      </c>
      <c r="F14">
        <v>0</v>
      </c>
      <c r="G14">
        <v>2500</v>
      </c>
    </row>
    <row r="15" spans="1:7" x14ac:dyDescent="0.25">
      <c r="A15">
        <v>13250</v>
      </c>
      <c r="B15">
        <v>12500</v>
      </c>
      <c r="C15">
        <v>0</v>
      </c>
      <c r="D15">
        <v>11300</v>
      </c>
      <c r="E15">
        <v>12500</v>
      </c>
      <c r="F15">
        <v>0</v>
      </c>
      <c r="G15">
        <v>3000</v>
      </c>
    </row>
    <row r="16" spans="1:7" x14ac:dyDescent="0.25">
      <c r="A16">
        <v>11300</v>
      </c>
      <c r="B16">
        <v>12500</v>
      </c>
      <c r="C16">
        <v>0</v>
      </c>
      <c r="D16">
        <v>11300</v>
      </c>
      <c r="E16">
        <v>12800</v>
      </c>
      <c r="F16">
        <v>0</v>
      </c>
      <c r="G16">
        <v>3000</v>
      </c>
    </row>
    <row r="17" spans="1:7" x14ac:dyDescent="0.25">
      <c r="A17">
        <v>11300</v>
      </c>
      <c r="B17">
        <v>12800</v>
      </c>
      <c r="C17">
        <v>0</v>
      </c>
      <c r="D17">
        <v>10100</v>
      </c>
      <c r="E17">
        <v>12800</v>
      </c>
      <c r="F17">
        <v>0</v>
      </c>
      <c r="G17">
        <v>3000</v>
      </c>
    </row>
    <row r="18" spans="1:7" x14ac:dyDescent="0.25">
      <c r="A18">
        <v>30700</v>
      </c>
      <c r="B18">
        <v>20100</v>
      </c>
      <c r="C18">
        <v>0</v>
      </c>
      <c r="D18">
        <v>30500</v>
      </c>
      <c r="E18">
        <v>20100</v>
      </c>
      <c r="F18">
        <v>0</v>
      </c>
      <c r="G18">
        <v>2500</v>
      </c>
    </row>
    <row r="19" spans="1:7" x14ac:dyDescent="0.25">
      <c r="A19">
        <v>26900</v>
      </c>
      <c r="B19">
        <v>23150</v>
      </c>
      <c r="C19">
        <v>0</v>
      </c>
      <c r="D19">
        <v>26900</v>
      </c>
      <c r="E19">
        <v>20200</v>
      </c>
      <c r="F19">
        <v>0</v>
      </c>
      <c r="G19">
        <v>2600</v>
      </c>
    </row>
    <row r="20" spans="1:7" x14ac:dyDescent="0.25">
      <c r="A20">
        <v>26900</v>
      </c>
      <c r="B20">
        <v>20200</v>
      </c>
      <c r="C20">
        <v>0</v>
      </c>
      <c r="D20">
        <v>25250</v>
      </c>
      <c r="E20">
        <v>20200</v>
      </c>
      <c r="F20">
        <v>0</v>
      </c>
      <c r="G20">
        <v>2500</v>
      </c>
    </row>
    <row r="21" spans="1:7" x14ac:dyDescent="0.25">
      <c r="A21">
        <v>26900</v>
      </c>
      <c r="B21">
        <v>20200</v>
      </c>
      <c r="C21">
        <v>0</v>
      </c>
      <c r="D21">
        <v>28300</v>
      </c>
      <c r="E21">
        <v>20200</v>
      </c>
      <c r="F21">
        <v>0</v>
      </c>
      <c r="G21">
        <v>2500</v>
      </c>
    </row>
    <row r="22" spans="1:7" x14ac:dyDescent="0.25">
      <c r="A22">
        <v>22600</v>
      </c>
      <c r="B22">
        <v>18600</v>
      </c>
      <c r="C22">
        <v>0</v>
      </c>
      <c r="D22">
        <v>20650</v>
      </c>
      <c r="E22">
        <v>18600</v>
      </c>
      <c r="F22">
        <v>0</v>
      </c>
      <c r="G22">
        <v>3000</v>
      </c>
    </row>
    <row r="23" spans="1:7" x14ac:dyDescent="0.25">
      <c r="A23">
        <v>22600</v>
      </c>
      <c r="B23">
        <v>18600</v>
      </c>
      <c r="C23">
        <v>0</v>
      </c>
      <c r="D23">
        <v>22600</v>
      </c>
      <c r="E23">
        <v>18950</v>
      </c>
      <c r="F23">
        <v>0</v>
      </c>
      <c r="G23">
        <v>3000</v>
      </c>
    </row>
    <row r="24" spans="1:7" x14ac:dyDescent="0.25">
      <c r="A24">
        <v>22600</v>
      </c>
      <c r="B24">
        <v>18950</v>
      </c>
      <c r="C24">
        <v>0</v>
      </c>
      <c r="D24">
        <v>23850</v>
      </c>
      <c r="E24">
        <v>18950</v>
      </c>
      <c r="F24">
        <v>0</v>
      </c>
      <c r="G24">
        <v>3000</v>
      </c>
    </row>
    <row r="25" spans="1:7" x14ac:dyDescent="0.25">
      <c r="A25">
        <v>16900</v>
      </c>
      <c r="B25">
        <v>8300</v>
      </c>
      <c r="C25">
        <v>0</v>
      </c>
      <c r="D25">
        <v>16900</v>
      </c>
      <c r="E25">
        <v>9350</v>
      </c>
      <c r="F25">
        <v>0</v>
      </c>
      <c r="G25">
        <v>3000</v>
      </c>
    </row>
    <row r="26" spans="1:7" x14ac:dyDescent="0.25">
      <c r="A26">
        <v>16900</v>
      </c>
      <c r="B26">
        <v>6450</v>
      </c>
      <c r="C26">
        <v>0</v>
      </c>
      <c r="D26">
        <v>15850</v>
      </c>
      <c r="E26">
        <v>6450</v>
      </c>
      <c r="F26">
        <v>0</v>
      </c>
      <c r="G26">
        <v>2500</v>
      </c>
    </row>
    <row r="27" spans="1:7" x14ac:dyDescent="0.25">
      <c r="A27">
        <v>16900</v>
      </c>
      <c r="B27">
        <v>6700</v>
      </c>
      <c r="C27">
        <v>0</v>
      </c>
      <c r="D27">
        <v>16900</v>
      </c>
      <c r="E27">
        <v>6450</v>
      </c>
      <c r="F27">
        <v>0</v>
      </c>
      <c r="G27">
        <v>2500</v>
      </c>
    </row>
    <row r="28" spans="1:7" x14ac:dyDescent="0.25">
      <c r="A28">
        <v>15350</v>
      </c>
      <c r="B28">
        <v>4200</v>
      </c>
      <c r="C28">
        <v>0</v>
      </c>
      <c r="D28">
        <v>15100</v>
      </c>
      <c r="E28">
        <v>4200</v>
      </c>
      <c r="F28">
        <v>0</v>
      </c>
      <c r="G28">
        <v>2500</v>
      </c>
    </row>
    <row r="29" spans="1:7" x14ac:dyDescent="0.25">
      <c r="A29">
        <v>15100</v>
      </c>
      <c r="B29">
        <v>2850</v>
      </c>
      <c r="C29">
        <v>0</v>
      </c>
      <c r="D29">
        <v>15350</v>
      </c>
      <c r="E29">
        <v>2850</v>
      </c>
      <c r="F29">
        <v>0</v>
      </c>
      <c r="G29">
        <v>2500</v>
      </c>
    </row>
    <row r="30" spans="1:7" x14ac:dyDescent="0.25">
      <c r="A30">
        <v>20200</v>
      </c>
      <c r="B30">
        <v>8300</v>
      </c>
      <c r="C30">
        <v>0</v>
      </c>
      <c r="D30">
        <v>20200</v>
      </c>
      <c r="E30">
        <v>9350</v>
      </c>
      <c r="F30">
        <v>0</v>
      </c>
      <c r="G30">
        <v>3000</v>
      </c>
    </row>
    <row r="31" spans="1:7" x14ac:dyDescent="0.25">
      <c r="A31">
        <v>21250</v>
      </c>
      <c r="B31">
        <v>6450</v>
      </c>
      <c r="C31">
        <v>0</v>
      </c>
      <c r="D31">
        <v>20200</v>
      </c>
      <c r="E31">
        <v>6450</v>
      </c>
      <c r="F31">
        <v>0</v>
      </c>
      <c r="G31">
        <v>2500</v>
      </c>
    </row>
    <row r="32" spans="1:7" x14ac:dyDescent="0.25">
      <c r="A32">
        <v>20200</v>
      </c>
      <c r="B32">
        <v>6450</v>
      </c>
      <c r="C32">
        <v>0</v>
      </c>
      <c r="D32">
        <v>20200</v>
      </c>
      <c r="E32">
        <v>6700</v>
      </c>
      <c r="F32">
        <v>0</v>
      </c>
      <c r="G32">
        <v>2500</v>
      </c>
    </row>
    <row r="33" spans="1:7" x14ac:dyDescent="0.25">
      <c r="A33">
        <v>22000</v>
      </c>
      <c r="B33">
        <v>4200</v>
      </c>
      <c r="C33">
        <v>0</v>
      </c>
      <c r="D33">
        <v>21750</v>
      </c>
      <c r="E33">
        <v>4200</v>
      </c>
      <c r="F33">
        <v>0</v>
      </c>
      <c r="G33">
        <v>2500</v>
      </c>
    </row>
    <row r="34" spans="1:7" x14ac:dyDescent="0.25">
      <c r="A34">
        <v>21750</v>
      </c>
      <c r="B34">
        <v>2850</v>
      </c>
      <c r="C34">
        <v>0</v>
      </c>
      <c r="D34">
        <v>22000</v>
      </c>
      <c r="E34">
        <v>2850</v>
      </c>
      <c r="F34">
        <v>0</v>
      </c>
      <c r="G34">
        <v>2500</v>
      </c>
    </row>
    <row r="35" spans="1:7" x14ac:dyDescent="0.25">
      <c r="A35">
        <v>32150</v>
      </c>
      <c r="B35">
        <v>20224</v>
      </c>
      <c r="C35">
        <v>0</v>
      </c>
      <c r="D35">
        <v>30700</v>
      </c>
      <c r="E35">
        <v>20224</v>
      </c>
      <c r="F35">
        <v>0</v>
      </c>
      <c r="G35">
        <v>2500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4"/>
  <sheetViews>
    <sheetView tabSelected="1" topLeftCell="H45" zoomScale="85" zoomScaleNormal="85" workbookViewId="0">
      <selection activeCell="AC80" sqref="AC80"/>
    </sheetView>
  </sheetViews>
  <sheetFormatPr defaultColWidth="9" defaultRowHeight="13.8" x14ac:dyDescent="0.25"/>
  <cols>
    <col min="1" max="2" width="12.88671875"/>
    <col min="4" max="5" width="12.88671875"/>
    <col min="7" max="7" width="12.88671875"/>
    <col min="9" max="9" width="7.21875" customWidth="1"/>
    <col min="10" max="10" width="9" customWidth="1"/>
    <col min="11" max="11" width="10.5546875" customWidth="1"/>
    <col min="12" max="12" width="7.21875" customWidth="1"/>
    <col min="13" max="13" width="8.5546875" customWidth="1"/>
    <col min="14" max="14" width="9.109375" customWidth="1"/>
    <col min="15" max="15" width="6.88671875" customWidth="1"/>
    <col min="16" max="16" width="9.88671875" customWidth="1"/>
    <col min="17" max="17" width="6.5546875" customWidth="1"/>
    <col min="21" max="21" width="11.6640625" customWidth="1"/>
    <col min="22" max="22" width="7.6640625" customWidth="1"/>
    <col min="23" max="23" width="12.44140625" customWidth="1"/>
    <col min="24" max="24" width="14.88671875" customWidth="1"/>
    <col min="25" max="25" width="14.5546875" customWidth="1"/>
    <col min="26" max="26" width="11.21875" customWidth="1"/>
    <col min="29" max="29" width="7.77734375" customWidth="1"/>
    <col min="30" max="30" width="11" customWidth="1"/>
    <col min="31" max="31" width="8" customWidth="1"/>
    <col min="32" max="32" width="7.109375" customWidth="1"/>
    <col min="33" max="33" width="7.33203125" customWidth="1"/>
  </cols>
  <sheetData>
    <row r="1" spans="1:37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33" t="s">
        <v>0</v>
      </c>
      <c r="K1" s="33" t="s">
        <v>1</v>
      </c>
      <c r="L1" s="33" t="s">
        <v>2</v>
      </c>
      <c r="M1" s="33" t="s">
        <v>3</v>
      </c>
      <c r="N1" s="33" t="s">
        <v>4</v>
      </c>
      <c r="O1" s="33" t="s">
        <v>5</v>
      </c>
      <c r="P1" s="33" t="s">
        <v>6</v>
      </c>
      <c r="Q1" s="4"/>
      <c r="R1" s="5" t="s">
        <v>7</v>
      </c>
      <c r="S1" s="6" t="s">
        <v>11</v>
      </c>
      <c r="T1" s="7" t="s">
        <v>12</v>
      </c>
      <c r="U1" s="8" t="s">
        <v>13</v>
      </c>
      <c r="V1" s="4"/>
      <c r="W1" s="4"/>
      <c r="X1" s="16" t="s">
        <v>8</v>
      </c>
      <c r="Y1" s="16" t="s">
        <v>22</v>
      </c>
      <c r="Z1" s="17" t="s">
        <v>14</v>
      </c>
      <c r="AA1" s="18" t="s">
        <v>9</v>
      </c>
      <c r="AB1" s="19" t="s">
        <v>10</v>
      </c>
      <c r="AC1" s="20" t="s">
        <v>15</v>
      </c>
      <c r="AD1" s="10"/>
      <c r="AE1" s="10"/>
      <c r="AF1" s="10"/>
      <c r="AG1" s="10"/>
      <c r="AH1" s="11"/>
      <c r="AI1" s="12"/>
      <c r="AJ1" s="12"/>
      <c r="AK1" s="12"/>
    </row>
    <row r="2" spans="1:37" x14ac:dyDescent="0.25">
      <c r="A2">
        <v>15800</v>
      </c>
      <c r="B2">
        <v>30400</v>
      </c>
      <c r="C2">
        <v>0</v>
      </c>
      <c r="D2">
        <v>15800</v>
      </c>
      <c r="E2">
        <v>31850</v>
      </c>
      <c r="F2">
        <v>0</v>
      </c>
      <c r="G2">
        <v>2500</v>
      </c>
      <c r="H2" s="1"/>
      <c r="I2" s="1"/>
      <c r="J2" s="4">
        <v>15800</v>
      </c>
      <c r="K2" s="4">
        <v>30400</v>
      </c>
      <c r="L2" s="4">
        <v>0</v>
      </c>
      <c r="M2" s="4">
        <v>15800</v>
      </c>
      <c r="N2" s="4">
        <v>31850</v>
      </c>
      <c r="O2" s="4">
        <v>0</v>
      </c>
      <c r="P2" s="4">
        <v>2500</v>
      </c>
      <c r="Q2" s="4"/>
      <c r="R2" s="4">
        <f t="shared" ref="R2:R35" si="0">((J2-M2)^2+(K2-N2)^2)^0.5</f>
        <v>1450</v>
      </c>
      <c r="S2" s="4">
        <v>605</v>
      </c>
      <c r="T2" s="4">
        <f t="shared" ref="T2:T35" si="1">QUOTIENT(R2,S2)</f>
        <v>2</v>
      </c>
      <c r="U2" s="4">
        <f t="shared" ref="U2:U35" si="2">MOD(R2,S2)</f>
        <v>240</v>
      </c>
      <c r="V2" s="9"/>
      <c r="W2" s="4"/>
      <c r="X2" s="21">
        <v>2500</v>
      </c>
      <c r="Y2" s="4">
        <v>240</v>
      </c>
      <c r="Z2" s="21">
        <v>190</v>
      </c>
      <c r="AA2" s="3"/>
      <c r="AB2" s="3"/>
      <c r="AC2" s="3"/>
      <c r="AD2" s="10"/>
      <c r="AE2" s="10"/>
      <c r="AF2" s="10"/>
      <c r="AG2" s="10"/>
      <c r="AH2" s="11"/>
      <c r="AI2" s="12"/>
      <c r="AJ2" s="12"/>
      <c r="AK2" s="12"/>
    </row>
    <row r="3" spans="1:37" x14ac:dyDescent="0.25">
      <c r="A3">
        <v>15700</v>
      </c>
      <c r="B3">
        <v>30200</v>
      </c>
      <c r="C3">
        <v>0</v>
      </c>
      <c r="D3">
        <v>15700</v>
      </c>
      <c r="E3">
        <v>30400</v>
      </c>
      <c r="F3">
        <v>0</v>
      </c>
      <c r="G3">
        <v>2500</v>
      </c>
      <c r="H3" s="1"/>
      <c r="I3" s="1"/>
      <c r="J3" s="4">
        <v>15700</v>
      </c>
      <c r="K3" s="4">
        <v>30200</v>
      </c>
      <c r="L3" s="4">
        <v>0</v>
      </c>
      <c r="M3" s="4">
        <v>15700</v>
      </c>
      <c r="N3" s="4">
        <v>30400</v>
      </c>
      <c r="O3" s="4">
        <v>0</v>
      </c>
      <c r="P3" s="4">
        <v>2500</v>
      </c>
      <c r="Q3" s="4"/>
      <c r="R3" s="4">
        <f t="shared" si="0"/>
        <v>200</v>
      </c>
      <c r="S3" s="4">
        <v>605</v>
      </c>
      <c r="T3" s="4">
        <f t="shared" si="1"/>
        <v>0</v>
      </c>
      <c r="U3" s="4">
        <f t="shared" si="2"/>
        <v>200</v>
      </c>
      <c r="V3" s="9"/>
      <c r="W3" s="4"/>
      <c r="X3" s="21">
        <v>2500</v>
      </c>
      <c r="Y3" s="4">
        <v>200</v>
      </c>
      <c r="Z3" s="21">
        <v>190</v>
      </c>
      <c r="AA3" s="3"/>
      <c r="AB3" s="3"/>
      <c r="AC3" s="3"/>
      <c r="AD3" s="10"/>
      <c r="AE3" s="10"/>
      <c r="AF3" s="10"/>
      <c r="AG3" s="10"/>
      <c r="AH3" s="11"/>
      <c r="AI3" s="12"/>
      <c r="AJ3" s="12"/>
      <c r="AK3" s="12"/>
    </row>
    <row r="4" spans="1:37" x14ac:dyDescent="0.25">
      <c r="A4">
        <v>15800</v>
      </c>
      <c r="B4">
        <v>26600</v>
      </c>
      <c r="C4">
        <v>0</v>
      </c>
      <c r="D4">
        <v>18750</v>
      </c>
      <c r="E4">
        <v>26600</v>
      </c>
      <c r="F4">
        <v>0</v>
      </c>
      <c r="G4">
        <v>2600</v>
      </c>
      <c r="H4" s="1"/>
      <c r="I4" s="1"/>
      <c r="J4" s="4">
        <v>15800</v>
      </c>
      <c r="K4" s="4">
        <v>26600</v>
      </c>
      <c r="L4" s="4">
        <v>0</v>
      </c>
      <c r="M4" s="4">
        <v>18750</v>
      </c>
      <c r="N4" s="4">
        <v>26600</v>
      </c>
      <c r="O4" s="4">
        <v>0</v>
      </c>
      <c r="P4" s="4">
        <v>2600</v>
      </c>
      <c r="Q4" s="4"/>
      <c r="R4" s="4">
        <f t="shared" si="0"/>
        <v>2950</v>
      </c>
      <c r="S4" s="4">
        <v>605</v>
      </c>
      <c r="T4" s="4">
        <f t="shared" si="1"/>
        <v>4</v>
      </c>
      <c r="U4" s="4">
        <f t="shared" si="2"/>
        <v>530</v>
      </c>
      <c r="V4" s="9"/>
      <c r="W4" s="4"/>
      <c r="X4" s="21">
        <v>2500</v>
      </c>
      <c r="Y4" s="4">
        <v>440</v>
      </c>
      <c r="Z4" s="21">
        <v>190</v>
      </c>
      <c r="AA4" s="3">
        <f>SUM(Z2:Z4)</f>
        <v>570</v>
      </c>
      <c r="AB4" s="3">
        <v>1</v>
      </c>
      <c r="AC4" s="3"/>
      <c r="AD4" s="10"/>
      <c r="AE4" s="10"/>
      <c r="AF4" s="10"/>
      <c r="AG4" s="10"/>
      <c r="AH4" s="11"/>
      <c r="AI4" s="12"/>
      <c r="AJ4" s="12"/>
      <c r="AK4" s="12"/>
    </row>
    <row r="5" spans="1:37" x14ac:dyDescent="0.25">
      <c r="A5">
        <v>15800</v>
      </c>
      <c r="B5">
        <v>26600</v>
      </c>
      <c r="C5">
        <v>0</v>
      </c>
      <c r="D5">
        <v>15800</v>
      </c>
      <c r="E5">
        <v>24950</v>
      </c>
      <c r="F5">
        <v>0</v>
      </c>
      <c r="G5">
        <v>2500</v>
      </c>
      <c r="H5" s="1"/>
      <c r="I5" s="1"/>
      <c r="J5" s="4">
        <v>15800</v>
      </c>
      <c r="K5" s="4">
        <v>26600</v>
      </c>
      <c r="L5" s="4">
        <v>0</v>
      </c>
      <c r="M5" s="4">
        <v>15800</v>
      </c>
      <c r="N5" s="4">
        <v>24950</v>
      </c>
      <c r="O5" s="4">
        <v>0</v>
      </c>
      <c r="P5" s="4">
        <v>2500</v>
      </c>
      <c r="Q5" s="4"/>
      <c r="R5" s="4">
        <f t="shared" si="0"/>
        <v>1650</v>
      </c>
      <c r="S5" s="4">
        <v>605</v>
      </c>
      <c r="T5" s="4">
        <f t="shared" si="1"/>
        <v>2</v>
      </c>
      <c r="U5" s="4">
        <f t="shared" si="2"/>
        <v>440</v>
      </c>
      <c r="V5" s="9"/>
      <c r="W5" s="4"/>
      <c r="X5" s="21">
        <v>2500</v>
      </c>
      <c r="Y5" s="4">
        <v>190</v>
      </c>
      <c r="Z5" s="21">
        <v>200</v>
      </c>
      <c r="AA5" s="3"/>
      <c r="AB5" s="3"/>
      <c r="AC5" s="3"/>
      <c r="AD5" s="10"/>
      <c r="AE5" s="10"/>
      <c r="AF5" s="10"/>
      <c r="AG5" s="10"/>
      <c r="AH5" s="11"/>
      <c r="AI5" s="12"/>
      <c r="AJ5" s="12"/>
      <c r="AK5" s="12"/>
    </row>
    <row r="6" spans="1:37" x14ac:dyDescent="0.25">
      <c r="A6">
        <v>15800</v>
      </c>
      <c r="B6">
        <v>26600</v>
      </c>
      <c r="C6">
        <v>0</v>
      </c>
      <c r="D6">
        <v>15800</v>
      </c>
      <c r="E6">
        <v>28000</v>
      </c>
      <c r="F6">
        <v>0</v>
      </c>
      <c r="G6">
        <v>2500</v>
      </c>
      <c r="H6" s="1"/>
      <c r="I6" s="1"/>
      <c r="J6" s="4">
        <v>15800</v>
      </c>
      <c r="K6" s="4">
        <v>26600</v>
      </c>
      <c r="L6" s="4">
        <v>0</v>
      </c>
      <c r="M6" s="4">
        <v>15800</v>
      </c>
      <c r="N6" s="4">
        <v>28000</v>
      </c>
      <c r="O6" s="4">
        <v>0</v>
      </c>
      <c r="P6" s="4">
        <v>2500</v>
      </c>
      <c r="Q6" s="4"/>
      <c r="R6" s="4">
        <f t="shared" si="0"/>
        <v>1400</v>
      </c>
      <c r="S6" s="4">
        <v>605</v>
      </c>
      <c r="T6" s="4">
        <f t="shared" si="1"/>
        <v>2</v>
      </c>
      <c r="U6" s="4">
        <f t="shared" si="2"/>
        <v>190</v>
      </c>
      <c r="V6" s="9"/>
      <c r="W6" s="4"/>
      <c r="X6" s="21">
        <v>2500</v>
      </c>
      <c r="Y6" s="4">
        <v>240</v>
      </c>
      <c r="Z6" s="21">
        <v>200</v>
      </c>
      <c r="AA6" s="3"/>
      <c r="AB6" s="3"/>
      <c r="AC6" s="3"/>
      <c r="AD6" s="10"/>
      <c r="AE6" s="10"/>
      <c r="AF6" s="10"/>
      <c r="AG6" s="10"/>
      <c r="AH6" s="11"/>
      <c r="AI6" s="12"/>
      <c r="AJ6" s="12"/>
      <c r="AK6" s="12"/>
    </row>
    <row r="7" spans="1:37" x14ac:dyDescent="0.25">
      <c r="A7">
        <v>14200</v>
      </c>
      <c r="B7">
        <v>20350</v>
      </c>
      <c r="C7">
        <v>0</v>
      </c>
      <c r="D7">
        <v>14200</v>
      </c>
      <c r="E7">
        <v>22300</v>
      </c>
      <c r="F7">
        <v>0</v>
      </c>
      <c r="G7">
        <v>3000</v>
      </c>
      <c r="H7" s="1"/>
      <c r="I7" s="1"/>
      <c r="J7" s="4">
        <v>14200</v>
      </c>
      <c r="K7" s="4">
        <v>20350</v>
      </c>
      <c r="L7" s="4">
        <v>0</v>
      </c>
      <c r="M7" s="4">
        <v>14200</v>
      </c>
      <c r="N7" s="4">
        <v>22300</v>
      </c>
      <c r="O7" s="4">
        <v>0</v>
      </c>
      <c r="P7" s="4">
        <v>3000</v>
      </c>
      <c r="Q7" s="4"/>
      <c r="R7" s="4">
        <f t="shared" si="0"/>
        <v>1950</v>
      </c>
      <c r="S7" s="4">
        <v>605</v>
      </c>
      <c r="T7" s="4">
        <f t="shared" si="1"/>
        <v>3</v>
      </c>
      <c r="U7" s="4">
        <f t="shared" si="2"/>
        <v>135</v>
      </c>
      <c r="V7" s="9"/>
      <c r="W7" s="4"/>
      <c r="X7" s="21">
        <v>2500</v>
      </c>
      <c r="Y7" s="4">
        <v>200</v>
      </c>
      <c r="Z7" s="21">
        <v>200</v>
      </c>
      <c r="AA7" s="3">
        <f>SUM(Z5:Z7)</f>
        <v>600</v>
      </c>
      <c r="AB7" s="3">
        <v>1</v>
      </c>
      <c r="AC7" s="3"/>
      <c r="AH7" s="11"/>
      <c r="AI7" s="12"/>
      <c r="AJ7" s="12"/>
      <c r="AK7" s="12"/>
    </row>
    <row r="8" spans="1:37" x14ac:dyDescent="0.25">
      <c r="A8">
        <v>14200</v>
      </c>
      <c r="B8">
        <v>22300</v>
      </c>
      <c r="C8">
        <v>0</v>
      </c>
      <c r="D8">
        <v>14500</v>
      </c>
      <c r="E8">
        <v>22300</v>
      </c>
      <c r="F8">
        <v>0</v>
      </c>
      <c r="G8">
        <v>3000</v>
      </c>
      <c r="H8" s="1"/>
      <c r="I8" s="1"/>
      <c r="J8" s="3">
        <v>14200</v>
      </c>
      <c r="K8" s="3">
        <v>22300</v>
      </c>
      <c r="L8" s="3">
        <v>0</v>
      </c>
      <c r="M8" s="3">
        <v>14500</v>
      </c>
      <c r="N8" s="3">
        <v>22300</v>
      </c>
      <c r="O8" s="3">
        <v>0</v>
      </c>
      <c r="P8" s="3">
        <v>3000</v>
      </c>
      <c r="Q8" s="3"/>
      <c r="R8" s="3">
        <f t="shared" si="0"/>
        <v>300</v>
      </c>
      <c r="S8" s="3">
        <v>605</v>
      </c>
      <c r="T8" s="3">
        <f t="shared" si="1"/>
        <v>0</v>
      </c>
      <c r="U8" s="3">
        <f t="shared" si="2"/>
        <v>300</v>
      </c>
      <c r="V8" s="13"/>
      <c r="W8" s="3"/>
      <c r="X8" s="22">
        <v>2500</v>
      </c>
      <c r="Y8" s="3">
        <v>440</v>
      </c>
      <c r="Z8" s="22">
        <v>240</v>
      </c>
      <c r="AA8" s="3"/>
      <c r="AB8" s="3"/>
      <c r="AC8" s="3"/>
      <c r="AH8" s="11"/>
      <c r="AI8" s="12"/>
      <c r="AJ8" s="12"/>
      <c r="AK8" s="12"/>
    </row>
    <row r="9" spans="1:37" x14ac:dyDescent="0.25">
      <c r="A9">
        <v>14500</v>
      </c>
      <c r="B9">
        <v>22300</v>
      </c>
      <c r="C9">
        <v>0</v>
      </c>
      <c r="D9">
        <v>14500</v>
      </c>
      <c r="E9">
        <v>23500</v>
      </c>
      <c r="F9">
        <v>0</v>
      </c>
      <c r="G9">
        <v>3000</v>
      </c>
      <c r="H9" s="1"/>
      <c r="I9" s="1"/>
      <c r="J9" s="3">
        <v>14500</v>
      </c>
      <c r="K9" s="3">
        <v>22300</v>
      </c>
      <c r="L9" s="3">
        <v>0</v>
      </c>
      <c r="M9" s="3">
        <v>14500</v>
      </c>
      <c r="N9" s="3">
        <v>23500</v>
      </c>
      <c r="O9" s="3">
        <v>0</v>
      </c>
      <c r="P9" s="3">
        <v>3000</v>
      </c>
      <c r="Q9" s="3"/>
      <c r="R9" s="3">
        <f t="shared" si="0"/>
        <v>1200</v>
      </c>
      <c r="S9" s="3">
        <v>605</v>
      </c>
      <c r="T9" s="3">
        <f t="shared" si="1"/>
        <v>1</v>
      </c>
      <c r="U9" s="3">
        <f t="shared" si="2"/>
        <v>595</v>
      </c>
      <c r="V9" s="13"/>
      <c r="W9" s="3"/>
      <c r="X9" s="22">
        <v>2500</v>
      </c>
      <c r="Y9" s="3">
        <v>190</v>
      </c>
      <c r="Z9" s="22">
        <v>240</v>
      </c>
      <c r="AA9" s="3">
        <f t="shared" ref="AA9:AA13" si="3">SUM(Z8:Z9)</f>
        <v>480</v>
      </c>
      <c r="AB9" s="3">
        <v>1</v>
      </c>
      <c r="AC9" s="3"/>
      <c r="AH9" s="11"/>
      <c r="AI9" s="12"/>
      <c r="AJ9" s="12"/>
      <c r="AK9" s="12"/>
    </row>
    <row r="10" spans="1:37" x14ac:dyDescent="0.25">
      <c r="A10">
        <v>3200</v>
      </c>
      <c r="B10">
        <v>14100</v>
      </c>
      <c r="C10">
        <v>0</v>
      </c>
      <c r="D10">
        <v>1750</v>
      </c>
      <c r="E10">
        <v>14100</v>
      </c>
      <c r="F10">
        <v>0</v>
      </c>
      <c r="G10">
        <v>2500</v>
      </c>
      <c r="H10" s="1"/>
      <c r="I10" s="1"/>
      <c r="J10" s="3">
        <v>3200</v>
      </c>
      <c r="K10" s="3">
        <v>14100</v>
      </c>
      <c r="L10" s="3">
        <v>0</v>
      </c>
      <c r="M10" s="3">
        <v>1750</v>
      </c>
      <c r="N10" s="3">
        <v>14100</v>
      </c>
      <c r="O10" s="3">
        <v>0</v>
      </c>
      <c r="P10" s="3">
        <v>2500</v>
      </c>
      <c r="Q10" s="3"/>
      <c r="R10" s="3">
        <f t="shared" si="0"/>
        <v>1450</v>
      </c>
      <c r="S10" s="3">
        <v>605</v>
      </c>
      <c r="T10" s="3">
        <f t="shared" si="1"/>
        <v>2</v>
      </c>
      <c r="U10" s="3">
        <f t="shared" si="2"/>
        <v>240</v>
      </c>
      <c r="V10" s="13"/>
      <c r="W10" s="3"/>
      <c r="X10" s="22">
        <v>2500</v>
      </c>
      <c r="Y10" s="3">
        <v>200</v>
      </c>
      <c r="Z10" s="22">
        <v>240</v>
      </c>
      <c r="AA10" s="3"/>
      <c r="AB10" s="3"/>
      <c r="AC10" s="3"/>
      <c r="AH10" s="11"/>
      <c r="AI10" s="12"/>
      <c r="AJ10" s="12"/>
      <c r="AK10" s="12"/>
    </row>
    <row r="11" spans="1:37" x14ac:dyDescent="0.25">
      <c r="A11">
        <v>3400</v>
      </c>
      <c r="B11">
        <v>14000</v>
      </c>
      <c r="C11">
        <v>0</v>
      </c>
      <c r="D11">
        <v>3200</v>
      </c>
      <c r="E11">
        <v>14000</v>
      </c>
      <c r="F11">
        <v>0</v>
      </c>
      <c r="G11">
        <v>2500</v>
      </c>
      <c r="H11" s="1"/>
      <c r="I11" s="1"/>
      <c r="J11" s="3">
        <v>3400</v>
      </c>
      <c r="K11" s="3">
        <v>14000</v>
      </c>
      <c r="L11" s="3">
        <v>0</v>
      </c>
      <c r="M11" s="3">
        <v>3200</v>
      </c>
      <c r="N11" s="3">
        <v>14000</v>
      </c>
      <c r="O11" s="3">
        <v>0</v>
      </c>
      <c r="P11" s="3">
        <v>2500</v>
      </c>
      <c r="Q11" s="3"/>
      <c r="R11" s="3">
        <f t="shared" si="0"/>
        <v>200</v>
      </c>
      <c r="S11" s="3">
        <v>605</v>
      </c>
      <c r="T11" s="3">
        <f t="shared" si="1"/>
        <v>0</v>
      </c>
      <c r="U11" s="3">
        <f t="shared" si="2"/>
        <v>200</v>
      </c>
      <c r="V11" s="13"/>
      <c r="W11" s="3"/>
      <c r="X11" s="22">
        <v>2500</v>
      </c>
      <c r="Y11" s="3">
        <v>440</v>
      </c>
      <c r="Z11" s="22">
        <v>250</v>
      </c>
      <c r="AA11" s="3">
        <f t="shared" si="3"/>
        <v>490</v>
      </c>
      <c r="AB11" s="3">
        <v>1</v>
      </c>
      <c r="AC11" s="3"/>
      <c r="AH11" s="11"/>
      <c r="AI11" s="12"/>
      <c r="AJ11" s="12"/>
      <c r="AK11" s="12"/>
    </row>
    <row r="12" spans="1:37" x14ac:dyDescent="0.25">
      <c r="A12">
        <v>7000</v>
      </c>
      <c r="B12">
        <v>14100</v>
      </c>
      <c r="C12">
        <v>0</v>
      </c>
      <c r="D12">
        <v>7000</v>
      </c>
      <c r="E12">
        <v>17050</v>
      </c>
      <c r="F12">
        <v>0</v>
      </c>
      <c r="G12">
        <v>2600</v>
      </c>
      <c r="H12" s="1"/>
      <c r="I12" s="1"/>
      <c r="J12" s="3">
        <v>7000</v>
      </c>
      <c r="K12" s="3">
        <v>14100</v>
      </c>
      <c r="L12" s="3">
        <v>0</v>
      </c>
      <c r="M12" s="3">
        <v>7000</v>
      </c>
      <c r="N12" s="3">
        <v>17050</v>
      </c>
      <c r="O12" s="3">
        <v>0</v>
      </c>
      <c r="P12" s="3">
        <v>2600</v>
      </c>
      <c r="Q12" s="3"/>
      <c r="R12" s="3">
        <f t="shared" si="0"/>
        <v>2950</v>
      </c>
      <c r="S12" s="3">
        <v>605</v>
      </c>
      <c r="T12" s="3">
        <f t="shared" si="1"/>
        <v>4</v>
      </c>
      <c r="U12" s="3">
        <f t="shared" si="2"/>
        <v>530</v>
      </c>
      <c r="V12" s="13"/>
      <c r="W12" s="3"/>
      <c r="X12" s="22">
        <v>2500</v>
      </c>
      <c r="Y12" s="3">
        <v>190</v>
      </c>
      <c r="Z12" s="22">
        <v>250</v>
      </c>
      <c r="AA12" s="3"/>
      <c r="AB12" s="3"/>
      <c r="AC12" s="3"/>
      <c r="AH12" s="11"/>
      <c r="AI12" s="12"/>
      <c r="AJ12" s="12"/>
      <c r="AK12" s="12"/>
    </row>
    <row r="13" spans="1:37" x14ac:dyDescent="0.25">
      <c r="A13">
        <v>7000</v>
      </c>
      <c r="B13">
        <v>14100</v>
      </c>
      <c r="C13">
        <v>0</v>
      </c>
      <c r="D13">
        <v>8650</v>
      </c>
      <c r="E13">
        <v>14100</v>
      </c>
      <c r="F13">
        <v>0</v>
      </c>
      <c r="G13">
        <v>2500</v>
      </c>
      <c r="H13" s="1"/>
      <c r="I13" s="1"/>
      <c r="J13" s="3">
        <v>7000</v>
      </c>
      <c r="K13" s="3">
        <v>14100</v>
      </c>
      <c r="L13" s="3">
        <v>0</v>
      </c>
      <c r="M13" s="3">
        <v>8650</v>
      </c>
      <c r="N13" s="3">
        <v>14100</v>
      </c>
      <c r="O13" s="3">
        <v>0</v>
      </c>
      <c r="P13" s="3">
        <v>2500</v>
      </c>
      <c r="Q13" s="3"/>
      <c r="R13" s="3">
        <f t="shared" si="0"/>
        <v>1650</v>
      </c>
      <c r="S13" s="3">
        <v>605</v>
      </c>
      <c r="T13" s="3">
        <f t="shared" si="1"/>
        <v>2</v>
      </c>
      <c r="U13" s="3">
        <f t="shared" si="2"/>
        <v>440</v>
      </c>
      <c r="V13" s="13"/>
      <c r="W13" s="3"/>
      <c r="X13" s="22">
        <v>2500</v>
      </c>
      <c r="Y13" s="3">
        <v>445</v>
      </c>
      <c r="Z13" s="22">
        <v>250</v>
      </c>
      <c r="AA13" s="3">
        <f t="shared" si="3"/>
        <v>500</v>
      </c>
      <c r="AB13" s="3">
        <v>1</v>
      </c>
      <c r="AC13" s="3"/>
      <c r="AD13" s="3"/>
      <c r="AE13" s="3"/>
      <c r="AF13" s="3"/>
      <c r="AG13" s="3"/>
      <c r="AH13" s="11"/>
      <c r="AI13" s="12"/>
      <c r="AJ13" s="12"/>
      <c r="AK13" s="12"/>
    </row>
    <row r="14" spans="1:37" ht="14.4" thickBot="1" x14ac:dyDescent="0.3">
      <c r="A14">
        <v>7000</v>
      </c>
      <c r="B14">
        <v>14100</v>
      </c>
      <c r="C14">
        <v>0</v>
      </c>
      <c r="D14">
        <v>5600</v>
      </c>
      <c r="E14">
        <v>14100</v>
      </c>
      <c r="F14">
        <v>0</v>
      </c>
      <c r="G14">
        <v>2500</v>
      </c>
      <c r="H14" s="1"/>
      <c r="I14" s="1"/>
      <c r="J14" s="3">
        <v>7000</v>
      </c>
      <c r="K14" s="3">
        <v>14100</v>
      </c>
      <c r="L14" s="3">
        <v>0</v>
      </c>
      <c r="M14" s="3">
        <v>5600</v>
      </c>
      <c r="N14" s="3">
        <v>14100</v>
      </c>
      <c r="O14" s="3">
        <v>0</v>
      </c>
      <c r="P14" s="3">
        <v>2500</v>
      </c>
      <c r="Q14" s="3"/>
      <c r="R14" s="3">
        <f t="shared" si="0"/>
        <v>1400</v>
      </c>
      <c r="S14" s="3">
        <v>605</v>
      </c>
      <c r="T14" s="3">
        <f t="shared" si="1"/>
        <v>2</v>
      </c>
      <c r="U14" s="3">
        <f t="shared" si="2"/>
        <v>190</v>
      </c>
      <c r="V14" s="13"/>
      <c r="W14" s="3"/>
      <c r="X14" s="22">
        <v>2500</v>
      </c>
      <c r="Y14" s="3">
        <v>250</v>
      </c>
      <c r="Z14" s="22">
        <v>250</v>
      </c>
      <c r="AA14" s="3"/>
      <c r="AB14" s="3"/>
      <c r="AC14" s="3"/>
      <c r="AD14" s="3"/>
      <c r="AE14" s="3"/>
      <c r="AF14" s="3"/>
      <c r="AG14" s="3"/>
      <c r="AH14" s="11"/>
      <c r="AI14" s="12"/>
      <c r="AJ14" s="12"/>
      <c r="AK14" s="12"/>
    </row>
    <row r="15" spans="1:37" x14ac:dyDescent="0.25">
      <c r="A15">
        <v>13250</v>
      </c>
      <c r="B15">
        <v>12500</v>
      </c>
      <c r="C15">
        <v>0</v>
      </c>
      <c r="D15">
        <v>11300</v>
      </c>
      <c r="E15">
        <v>12500</v>
      </c>
      <c r="F15">
        <v>0</v>
      </c>
      <c r="G15">
        <v>3000</v>
      </c>
      <c r="H15" s="1"/>
      <c r="I15" s="1"/>
      <c r="J15" s="3">
        <v>13250</v>
      </c>
      <c r="K15" s="3">
        <v>12500</v>
      </c>
      <c r="L15" s="3">
        <v>0</v>
      </c>
      <c r="M15" s="3">
        <v>11300</v>
      </c>
      <c r="N15" s="3">
        <v>12500</v>
      </c>
      <c r="O15" s="3">
        <v>0</v>
      </c>
      <c r="P15" s="3">
        <v>3000</v>
      </c>
      <c r="Q15" s="3"/>
      <c r="R15" s="3">
        <f t="shared" si="0"/>
        <v>1950</v>
      </c>
      <c r="S15" s="3">
        <v>605</v>
      </c>
      <c r="T15" s="3">
        <f t="shared" si="1"/>
        <v>3</v>
      </c>
      <c r="U15" s="3">
        <f t="shared" si="2"/>
        <v>135</v>
      </c>
      <c r="V15" s="13"/>
      <c r="W15" s="3"/>
      <c r="X15" s="22">
        <v>2500</v>
      </c>
      <c r="Y15" s="3">
        <v>250</v>
      </c>
      <c r="Z15" s="22">
        <v>250</v>
      </c>
      <c r="AA15" s="3">
        <f>SUM(Z14:Z15)</f>
        <v>500</v>
      </c>
      <c r="AB15" s="3">
        <v>1</v>
      </c>
      <c r="AC15" s="3"/>
      <c r="AD15" s="3"/>
      <c r="AE15" s="25" t="s">
        <v>17</v>
      </c>
      <c r="AF15" s="26">
        <v>2500</v>
      </c>
      <c r="AG15" s="26">
        <v>2600</v>
      </c>
      <c r="AH15" s="27">
        <v>3000</v>
      </c>
      <c r="AI15" s="10"/>
      <c r="AJ15" s="12"/>
      <c r="AK15" s="12"/>
    </row>
    <row r="16" spans="1:37" x14ac:dyDescent="0.25">
      <c r="A16">
        <v>11300</v>
      </c>
      <c r="B16">
        <v>12500</v>
      </c>
      <c r="C16">
        <v>0</v>
      </c>
      <c r="D16">
        <v>11300</v>
      </c>
      <c r="E16">
        <v>12800</v>
      </c>
      <c r="F16">
        <v>0</v>
      </c>
      <c r="G16">
        <v>3000</v>
      </c>
      <c r="H16" s="1"/>
      <c r="I16" s="1"/>
      <c r="J16" s="3">
        <v>11300</v>
      </c>
      <c r="K16" s="3">
        <v>12500</v>
      </c>
      <c r="L16" s="3">
        <v>0</v>
      </c>
      <c r="M16" s="3">
        <v>11300</v>
      </c>
      <c r="N16" s="3">
        <v>12800</v>
      </c>
      <c r="O16" s="3">
        <v>0</v>
      </c>
      <c r="P16" s="3">
        <v>3000</v>
      </c>
      <c r="Q16" s="3"/>
      <c r="R16" s="3">
        <f t="shared" si="0"/>
        <v>300</v>
      </c>
      <c r="S16" s="3">
        <v>605</v>
      </c>
      <c r="T16" s="3">
        <f t="shared" si="1"/>
        <v>0</v>
      </c>
      <c r="U16" s="3">
        <f t="shared" si="2"/>
        <v>300</v>
      </c>
      <c r="V16" s="13"/>
      <c r="W16" s="3"/>
      <c r="X16" s="22">
        <v>2500</v>
      </c>
      <c r="Y16" s="3">
        <v>250</v>
      </c>
      <c r="Z16" s="22">
        <v>250</v>
      </c>
      <c r="AA16" s="3">
        <f t="shared" ref="AA16:AA23" si="4">SUM(Z16)</f>
        <v>250</v>
      </c>
      <c r="AB16" s="3">
        <v>1</v>
      </c>
      <c r="AC16" s="3"/>
      <c r="AD16" s="3"/>
      <c r="AE16" s="28" t="s">
        <v>18</v>
      </c>
      <c r="AF16" s="14">
        <v>20</v>
      </c>
      <c r="AG16" s="14">
        <v>12</v>
      </c>
      <c r="AH16" s="29">
        <v>15</v>
      </c>
      <c r="AI16" s="3">
        <f>SUM(AF16:AH16)</f>
        <v>47</v>
      </c>
      <c r="AJ16" s="12"/>
      <c r="AK16" s="12"/>
    </row>
    <row r="17" spans="1:37" x14ac:dyDescent="0.25">
      <c r="A17">
        <v>11300</v>
      </c>
      <c r="B17">
        <v>12800</v>
      </c>
      <c r="C17">
        <v>0</v>
      </c>
      <c r="D17">
        <v>10100</v>
      </c>
      <c r="E17">
        <v>12800</v>
      </c>
      <c r="F17">
        <v>0</v>
      </c>
      <c r="G17">
        <v>3000</v>
      </c>
      <c r="H17" s="1"/>
      <c r="I17" s="1"/>
      <c r="J17" s="3">
        <v>11300</v>
      </c>
      <c r="K17" s="3">
        <v>12800</v>
      </c>
      <c r="L17" s="3">
        <v>0</v>
      </c>
      <c r="M17" s="3">
        <v>10100</v>
      </c>
      <c r="N17" s="3">
        <v>12800</v>
      </c>
      <c r="O17" s="3">
        <v>0</v>
      </c>
      <c r="P17" s="3">
        <v>3000</v>
      </c>
      <c r="Q17" s="3"/>
      <c r="R17" s="3">
        <f t="shared" si="0"/>
        <v>1200</v>
      </c>
      <c r="S17" s="3">
        <v>605</v>
      </c>
      <c r="T17" s="3">
        <f t="shared" si="1"/>
        <v>1</v>
      </c>
      <c r="U17" s="3">
        <f t="shared" si="2"/>
        <v>595</v>
      </c>
      <c r="V17" s="13"/>
      <c r="W17" s="3"/>
      <c r="X17" s="22">
        <v>2500</v>
      </c>
      <c r="Y17" s="3">
        <v>445</v>
      </c>
      <c r="Z17" s="22">
        <v>440</v>
      </c>
      <c r="AA17" s="3">
        <f t="shared" si="4"/>
        <v>440</v>
      </c>
      <c r="AB17" s="3">
        <v>1</v>
      </c>
      <c r="AC17" s="3"/>
      <c r="AD17" s="3"/>
      <c r="AE17" s="28" t="s">
        <v>19</v>
      </c>
      <c r="AF17" s="14">
        <v>12</v>
      </c>
      <c r="AG17" s="14">
        <v>2</v>
      </c>
      <c r="AH17" s="29">
        <v>8</v>
      </c>
      <c r="AI17" s="3">
        <f>SUM(AF17:AH17)</f>
        <v>22</v>
      </c>
      <c r="AJ17" s="12"/>
      <c r="AK17" s="12"/>
    </row>
    <row r="18" spans="1:37" x14ac:dyDescent="0.25">
      <c r="A18">
        <v>30700</v>
      </c>
      <c r="B18">
        <v>20100</v>
      </c>
      <c r="C18">
        <v>0</v>
      </c>
      <c r="D18">
        <v>30500</v>
      </c>
      <c r="E18">
        <v>20100</v>
      </c>
      <c r="F18">
        <v>0</v>
      </c>
      <c r="G18">
        <v>2500</v>
      </c>
      <c r="H18" s="1"/>
      <c r="I18" s="1"/>
      <c r="J18" s="3">
        <v>30700</v>
      </c>
      <c r="K18" s="3">
        <v>20100</v>
      </c>
      <c r="L18" s="3">
        <v>0</v>
      </c>
      <c r="M18" s="3">
        <v>30500</v>
      </c>
      <c r="N18" s="3">
        <v>20100</v>
      </c>
      <c r="O18" s="3">
        <v>0</v>
      </c>
      <c r="P18" s="3">
        <v>2500</v>
      </c>
      <c r="Q18" s="3"/>
      <c r="R18" s="3">
        <f t="shared" si="0"/>
        <v>200</v>
      </c>
      <c r="S18" s="3">
        <v>605</v>
      </c>
      <c r="T18" s="3">
        <f t="shared" si="1"/>
        <v>0</v>
      </c>
      <c r="U18" s="3">
        <f t="shared" si="2"/>
        <v>200</v>
      </c>
      <c r="V18" s="13"/>
      <c r="W18" s="3"/>
      <c r="X18" s="22">
        <v>2500</v>
      </c>
      <c r="Y18" s="3">
        <v>250</v>
      </c>
      <c r="Z18" s="22">
        <v>440</v>
      </c>
      <c r="AA18" s="3">
        <f t="shared" si="4"/>
        <v>440</v>
      </c>
      <c r="AB18" s="3">
        <v>1</v>
      </c>
      <c r="AC18" s="3"/>
      <c r="AD18" s="3"/>
      <c r="AE18" s="28" t="s">
        <v>20</v>
      </c>
      <c r="AF18" s="14">
        <f t="shared" ref="AF18:AG18" si="5">SUM(AF16:AF17)</f>
        <v>32</v>
      </c>
      <c r="AG18" s="14">
        <f t="shared" si="5"/>
        <v>14</v>
      </c>
      <c r="AH18" s="29">
        <f>SUM(AH16:AH17)</f>
        <v>23</v>
      </c>
      <c r="AI18" s="3"/>
      <c r="AJ18" s="12"/>
      <c r="AK18" s="12"/>
    </row>
    <row r="19" spans="1:37" x14ac:dyDescent="0.25">
      <c r="A19">
        <v>26900</v>
      </c>
      <c r="B19">
        <v>23150</v>
      </c>
      <c r="C19">
        <v>0</v>
      </c>
      <c r="D19">
        <v>26900</v>
      </c>
      <c r="E19">
        <v>20200</v>
      </c>
      <c r="F19">
        <v>0</v>
      </c>
      <c r="G19">
        <v>2600</v>
      </c>
      <c r="H19" s="1"/>
      <c r="I19" s="1"/>
      <c r="J19" s="3">
        <v>26900</v>
      </c>
      <c r="K19" s="3">
        <v>23150</v>
      </c>
      <c r="L19" s="3">
        <v>0</v>
      </c>
      <c r="M19" s="3">
        <v>26900</v>
      </c>
      <c r="N19" s="3">
        <v>20200</v>
      </c>
      <c r="O19" s="3">
        <v>0</v>
      </c>
      <c r="P19" s="3">
        <v>2600</v>
      </c>
      <c r="Q19" s="3"/>
      <c r="R19" s="3">
        <f t="shared" si="0"/>
        <v>2950</v>
      </c>
      <c r="S19" s="3">
        <v>605</v>
      </c>
      <c r="T19" s="3">
        <f t="shared" si="1"/>
        <v>4</v>
      </c>
      <c r="U19" s="3">
        <f t="shared" si="2"/>
        <v>530</v>
      </c>
      <c r="V19" s="13"/>
      <c r="W19" s="3"/>
      <c r="X19" s="22">
        <v>2500</v>
      </c>
      <c r="Y19" s="3">
        <v>250</v>
      </c>
      <c r="Z19" s="22">
        <v>440</v>
      </c>
      <c r="AA19" s="3">
        <f t="shared" si="4"/>
        <v>440</v>
      </c>
      <c r="AB19" s="3">
        <v>1</v>
      </c>
      <c r="AC19" s="3"/>
      <c r="AD19" s="3"/>
      <c r="AE19" s="28" t="s">
        <v>21</v>
      </c>
      <c r="AF19" s="14">
        <v>12</v>
      </c>
      <c r="AG19" s="14">
        <v>12</v>
      </c>
      <c r="AH19" s="29">
        <v>12</v>
      </c>
      <c r="AI19" s="3"/>
      <c r="AJ19" s="12"/>
      <c r="AK19" s="12"/>
    </row>
    <row r="20" spans="1:37" ht="14.4" thickBot="1" x14ac:dyDescent="0.3">
      <c r="A20">
        <v>26900</v>
      </c>
      <c r="B20">
        <v>20200</v>
      </c>
      <c r="C20">
        <v>0</v>
      </c>
      <c r="D20">
        <v>25250</v>
      </c>
      <c r="E20">
        <v>20200</v>
      </c>
      <c r="F20">
        <v>0</v>
      </c>
      <c r="G20">
        <v>2500</v>
      </c>
      <c r="H20" s="1"/>
      <c r="I20" s="1"/>
      <c r="J20" s="3">
        <v>26900</v>
      </c>
      <c r="K20" s="3">
        <v>20200</v>
      </c>
      <c r="L20" s="3">
        <v>0</v>
      </c>
      <c r="M20" s="3">
        <v>25250</v>
      </c>
      <c r="N20" s="3">
        <v>20200</v>
      </c>
      <c r="O20" s="3">
        <v>0</v>
      </c>
      <c r="P20" s="3">
        <v>2500</v>
      </c>
      <c r="Q20" s="3"/>
      <c r="R20" s="3">
        <f t="shared" si="0"/>
        <v>1650</v>
      </c>
      <c r="S20" s="3">
        <v>605</v>
      </c>
      <c r="T20" s="3">
        <f t="shared" si="1"/>
        <v>2</v>
      </c>
      <c r="U20" s="3">
        <f t="shared" si="2"/>
        <v>440</v>
      </c>
      <c r="V20" s="13"/>
      <c r="W20" s="3"/>
      <c r="X20" s="22">
        <v>2500</v>
      </c>
      <c r="Y20" s="3">
        <v>250</v>
      </c>
      <c r="Z20" s="22">
        <v>445</v>
      </c>
      <c r="AA20" s="3">
        <f t="shared" si="4"/>
        <v>445</v>
      </c>
      <c r="AB20" s="3">
        <v>1</v>
      </c>
      <c r="AC20" s="3"/>
      <c r="AD20" s="3"/>
      <c r="AE20" s="30" t="s">
        <v>16</v>
      </c>
      <c r="AF20" s="31">
        <f t="shared" ref="AF20:AH20" si="6">ROUNDUP(AF18/AF19,0)</f>
        <v>3</v>
      </c>
      <c r="AG20" s="31">
        <f t="shared" si="6"/>
        <v>2</v>
      </c>
      <c r="AH20" s="32">
        <f t="shared" si="6"/>
        <v>2</v>
      </c>
      <c r="AI20" s="3"/>
      <c r="AJ20" s="12"/>
      <c r="AK20" s="12"/>
    </row>
    <row r="21" spans="1:37" x14ac:dyDescent="0.25">
      <c r="A21">
        <v>26900</v>
      </c>
      <c r="B21">
        <v>20200</v>
      </c>
      <c r="C21">
        <v>0</v>
      </c>
      <c r="D21">
        <v>28300</v>
      </c>
      <c r="E21">
        <v>20200</v>
      </c>
      <c r="F21">
        <v>0</v>
      </c>
      <c r="G21">
        <v>2500</v>
      </c>
      <c r="H21" s="1"/>
      <c r="I21" s="1"/>
      <c r="J21" s="3">
        <v>26900</v>
      </c>
      <c r="K21" s="3">
        <v>20200</v>
      </c>
      <c r="L21" s="3">
        <v>0</v>
      </c>
      <c r="M21" s="3">
        <v>28300</v>
      </c>
      <c r="N21" s="3">
        <v>20200</v>
      </c>
      <c r="O21" s="3">
        <v>0</v>
      </c>
      <c r="P21" s="3">
        <v>2500</v>
      </c>
      <c r="Q21" s="3"/>
      <c r="R21" s="3">
        <f t="shared" si="0"/>
        <v>1400</v>
      </c>
      <c r="S21" s="3">
        <v>605</v>
      </c>
      <c r="T21" s="3">
        <f t="shared" si="1"/>
        <v>2</v>
      </c>
      <c r="U21" s="3">
        <f t="shared" si="2"/>
        <v>190</v>
      </c>
      <c r="V21" s="13"/>
      <c r="W21" s="3"/>
      <c r="X21" s="22">
        <v>2500</v>
      </c>
      <c r="Y21" s="3">
        <v>240</v>
      </c>
      <c r="Z21" s="22">
        <v>445</v>
      </c>
      <c r="AA21" s="3">
        <f t="shared" si="4"/>
        <v>445</v>
      </c>
      <c r="AB21" s="3">
        <v>1</v>
      </c>
      <c r="AC21" s="3">
        <f>SUM(AB4:AB21)</f>
        <v>12</v>
      </c>
      <c r="AD21" s="3"/>
      <c r="AE21" s="3"/>
      <c r="AF21" s="3"/>
      <c r="AG21" s="3"/>
      <c r="AH21" s="11"/>
      <c r="AI21" s="12"/>
      <c r="AJ21" s="12"/>
      <c r="AK21" s="12"/>
    </row>
    <row r="22" spans="1:37" x14ac:dyDescent="0.25">
      <c r="A22">
        <v>22600</v>
      </c>
      <c r="B22">
        <v>18600</v>
      </c>
      <c r="C22">
        <v>0</v>
      </c>
      <c r="D22">
        <v>20650</v>
      </c>
      <c r="E22">
        <v>18600</v>
      </c>
      <c r="F22">
        <v>0</v>
      </c>
      <c r="G22">
        <v>3000</v>
      </c>
      <c r="H22" s="1"/>
      <c r="I22" s="1"/>
      <c r="J22" s="3">
        <v>22600</v>
      </c>
      <c r="K22" s="3">
        <v>18600</v>
      </c>
      <c r="L22" s="3">
        <v>0</v>
      </c>
      <c r="M22" s="3">
        <v>20650</v>
      </c>
      <c r="N22" s="3">
        <v>18600</v>
      </c>
      <c r="O22" s="3">
        <v>0</v>
      </c>
      <c r="P22" s="3">
        <v>3000</v>
      </c>
      <c r="Q22" s="3"/>
      <c r="R22" s="3">
        <f t="shared" si="0"/>
        <v>1950</v>
      </c>
      <c r="S22" s="3">
        <v>605</v>
      </c>
      <c r="T22" s="3">
        <f t="shared" si="1"/>
        <v>3</v>
      </c>
      <c r="U22" s="3">
        <f t="shared" si="2"/>
        <v>135</v>
      </c>
      <c r="V22" s="13"/>
      <c r="W22" s="3"/>
      <c r="X22" s="23">
        <v>2600</v>
      </c>
      <c r="Y22" s="3">
        <v>530</v>
      </c>
      <c r="Z22" s="23">
        <v>530</v>
      </c>
      <c r="AA22" s="3">
        <f t="shared" si="4"/>
        <v>530</v>
      </c>
      <c r="AB22" s="3">
        <v>1</v>
      </c>
      <c r="AC22" s="3"/>
      <c r="AD22" s="3"/>
      <c r="AE22" s="3"/>
      <c r="AF22" s="3"/>
      <c r="AG22" s="3"/>
      <c r="AH22" s="11"/>
      <c r="AI22" s="12"/>
      <c r="AJ22" s="12"/>
      <c r="AK22" s="12"/>
    </row>
    <row r="23" spans="1:37" x14ac:dyDescent="0.25">
      <c r="A23">
        <v>22600</v>
      </c>
      <c r="B23">
        <v>18600</v>
      </c>
      <c r="C23">
        <v>0</v>
      </c>
      <c r="D23">
        <v>22600</v>
      </c>
      <c r="E23">
        <v>18950</v>
      </c>
      <c r="F23">
        <v>0</v>
      </c>
      <c r="G23">
        <v>3000</v>
      </c>
      <c r="H23" s="1"/>
      <c r="I23" s="1"/>
      <c r="J23" s="3">
        <v>22600</v>
      </c>
      <c r="K23" s="3">
        <v>18600</v>
      </c>
      <c r="L23" s="3">
        <v>0</v>
      </c>
      <c r="M23" s="3">
        <v>22600</v>
      </c>
      <c r="N23" s="3">
        <v>18950</v>
      </c>
      <c r="O23" s="3">
        <v>0</v>
      </c>
      <c r="P23" s="3">
        <v>3000</v>
      </c>
      <c r="Q23" s="3"/>
      <c r="R23" s="3">
        <f t="shared" si="0"/>
        <v>350</v>
      </c>
      <c r="S23" s="3">
        <v>605</v>
      </c>
      <c r="T23" s="3">
        <f t="shared" si="1"/>
        <v>0</v>
      </c>
      <c r="U23" s="3">
        <f t="shared" si="2"/>
        <v>350</v>
      </c>
      <c r="V23" s="13"/>
      <c r="W23" s="3"/>
      <c r="X23" s="23">
        <v>2600</v>
      </c>
      <c r="Y23" s="3">
        <v>530</v>
      </c>
      <c r="Z23" s="23">
        <v>530</v>
      </c>
      <c r="AA23" s="3">
        <f t="shared" si="4"/>
        <v>530</v>
      </c>
      <c r="AB23" s="3">
        <v>1</v>
      </c>
      <c r="AC23" s="3"/>
      <c r="AD23" s="3"/>
      <c r="AE23" s="3"/>
      <c r="AF23" s="3"/>
      <c r="AG23" s="3"/>
      <c r="AH23" s="11"/>
      <c r="AI23" s="12"/>
      <c r="AJ23" s="12"/>
      <c r="AK23" s="12"/>
    </row>
    <row r="24" spans="1:37" x14ac:dyDescent="0.25">
      <c r="A24">
        <v>22600</v>
      </c>
      <c r="B24">
        <v>18950</v>
      </c>
      <c r="C24">
        <v>0</v>
      </c>
      <c r="D24">
        <v>23850</v>
      </c>
      <c r="E24">
        <v>18950</v>
      </c>
      <c r="F24">
        <v>0</v>
      </c>
      <c r="G24">
        <v>3000</v>
      </c>
      <c r="H24" s="1"/>
      <c r="I24" s="1"/>
      <c r="J24" s="3">
        <v>22600</v>
      </c>
      <c r="K24" s="3">
        <v>18950</v>
      </c>
      <c r="L24" s="3">
        <v>0</v>
      </c>
      <c r="M24" s="3">
        <v>23850</v>
      </c>
      <c r="N24" s="3">
        <v>18950</v>
      </c>
      <c r="O24" s="3">
        <v>0</v>
      </c>
      <c r="P24" s="3">
        <v>3000</v>
      </c>
      <c r="Q24" s="3"/>
      <c r="R24" s="3">
        <f t="shared" si="0"/>
        <v>1250</v>
      </c>
      <c r="S24" s="3">
        <v>605</v>
      </c>
      <c r="T24" s="3">
        <f t="shared" si="1"/>
        <v>2</v>
      </c>
      <c r="U24" s="3">
        <f t="shared" si="2"/>
        <v>40</v>
      </c>
      <c r="V24" s="13"/>
      <c r="W24" s="3"/>
      <c r="X24" s="23">
        <v>2600</v>
      </c>
      <c r="Y24" s="3">
        <v>530</v>
      </c>
      <c r="Z24" s="23">
        <v>530</v>
      </c>
      <c r="AA24" s="3"/>
      <c r="AB24" s="3"/>
      <c r="AC24" s="3">
        <f>SUM(AB22:AB24)</f>
        <v>2</v>
      </c>
      <c r="AD24" s="3"/>
      <c r="AE24" s="3"/>
      <c r="AF24" s="3"/>
      <c r="AG24" s="3"/>
      <c r="AH24" s="11"/>
      <c r="AI24" s="12"/>
      <c r="AJ24" s="12"/>
      <c r="AK24" s="12"/>
    </row>
    <row r="25" spans="1:37" x14ac:dyDescent="0.25">
      <c r="A25">
        <v>16900</v>
      </c>
      <c r="B25">
        <v>8300</v>
      </c>
      <c r="C25">
        <v>0</v>
      </c>
      <c r="D25">
        <v>16900</v>
      </c>
      <c r="E25">
        <v>9350</v>
      </c>
      <c r="F25">
        <v>0</v>
      </c>
      <c r="G25">
        <v>3000</v>
      </c>
      <c r="H25" s="1"/>
      <c r="I25" s="1"/>
      <c r="J25" s="3">
        <v>16900</v>
      </c>
      <c r="K25" s="3">
        <v>8300</v>
      </c>
      <c r="L25" s="3">
        <v>0</v>
      </c>
      <c r="M25" s="3">
        <v>16900</v>
      </c>
      <c r="N25" s="3">
        <v>9350</v>
      </c>
      <c r="O25" s="3">
        <v>0</v>
      </c>
      <c r="P25" s="3">
        <v>3000</v>
      </c>
      <c r="Q25" s="3"/>
      <c r="R25" s="3">
        <f t="shared" si="0"/>
        <v>1050</v>
      </c>
      <c r="S25" s="3">
        <v>605</v>
      </c>
      <c r="T25" s="3">
        <f t="shared" si="1"/>
        <v>1</v>
      </c>
      <c r="U25" s="3">
        <f t="shared" si="2"/>
        <v>445</v>
      </c>
      <c r="V25" s="13"/>
      <c r="W25" s="3"/>
      <c r="X25" s="24">
        <v>3000</v>
      </c>
      <c r="Y25" s="3">
        <v>135</v>
      </c>
      <c r="Z25" s="24">
        <v>40</v>
      </c>
      <c r="AA25" s="3">
        <f>SUM(Z24:Z25)</f>
        <v>570</v>
      </c>
      <c r="AB25" s="3">
        <v>1</v>
      </c>
      <c r="AC25" s="3"/>
      <c r="AD25" s="3"/>
      <c r="AE25" s="3"/>
      <c r="AF25" s="3"/>
      <c r="AG25" s="3"/>
      <c r="AH25" s="11"/>
      <c r="AI25" s="12"/>
      <c r="AJ25" s="12"/>
      <c r="AK25" s="12"/>
    </row>
    <row r="26" spans="1:37" x14ac:dyDescent="0.25">
      <c r="A26">
        <v>16900</v>
      </c>
      <c r="B26">
        <v>6450</v>
      </c>
      <c r="C26">
        <v>0</v>
      </c>
      <c r="D26">
        <v>15850</v>
      </c>
      <c r="E26">
        <v>6450</v>
      </c>
      <c r="F26">
        <v>0</v>
      </c>
      <c r="G26">
        <v>2500</v>
      </c>
      <c r="H26" s="1"/>
      <c r="I26" s="1"/>
      <c r="J26" s="3">
        <v>16900</v>
      </c>
      <c r="K26" s="3">
        <v>6450</v>
      </c>
      <c r="L26" s="3">
        <v>0</v>
      </c>
      <c r="M26" s="3">
        <v>15850</v>
      </c>
      <c r="N26" s="3">
        <v>6450</v>
      </c>
      <c r="O26" s="3">
        <v>0</v>
      </c>
      <c r="P26" s="3">
        <v>2500</v>
      </c>
      <c r="Q26" s="3"/>
      <c r="R26" s="3">
        <f t="shared" si="0"/>
        <v>1050</v>
      </c>
      <c r="S26" s="3">
        <v>605</v>
      </c>
      <c r="T26" s="3">
        <f t="shared" si="1"/>
        <v>1</v>
      </c>
      <c r="U26" s="3">
        <f t="shared" si="2"/>
        <v>445</v>
      </c>
      <c r="V26" s="13"/>
      <c r="W26" s="3"/>
      <c r="X26" s="24">
        <v>3000</v>
      </c>
      <c r="Y26" s="3">
        <v>300</v>
      </c>
      <c r="Z26" s="24">
        <v>135</v>
      </c>
      <c r="AA26" s="3"/>
      <c r="AB26" s="3"/>
      <c r="AC26" s="3"/>
      <c r="AD26" s="3"/>
      <c r="AE26" s="3"/>
      <c r="AF26" s="3"/>
      <c r="AG26" s="3"/>
      <c r="AH26" s="11"/>
      <c r="AI26" s="12"/>
      <c r="AJ26" s="12"/>
      <c r="AK26" s="12"/>
    </row>
    <row r="27" spans="1:37" x14ac:dyDescent="0.25">
      <c r="A27">
        <v>16900</v>
      </c>
      <c r="B27">
        <v>6700</v>
      </c>
      <c r="C27">
        <v>0</v>
      </c>
      <c r="D27">
        <v>16900</v>
      </c>
      <c r="E27">
        <v>6450</v>
      </c>
      <c r="F27">
        <v>0</v>
      </c>
      <c r="G27">
        <v>2500</v>
      </c>
      <c r="H27" s="1"/>
      <c r="I27" s="1"/>
      <c r="J27" s="3">
        <v>16900</v>
      </c>
      <c r="K27" s="3">
        <v>6700</v>
      </c>
      <c r="L27" s="3">
        <v>0</v>
      </c>
      <c r="M27" s="3">
        <v>16900</v>
      </c>
      <c r="N27" s="3">
        <v>6450</v>
      </c>
      <c r="O27" s="3">
        <v>0</v>
      </c>
      <c r="P27" s="3">
        <v>2500</v>
      </c>
      <c r="Q27" s="3"/>
      <c r="R27" s="3">
        <f t="shared" si="0"/>
        <v>250</v>
      </c>
      <c r="S27" s="3">
        <v>605</v>
      </c>
      <c r="T27" s="3">
        <f t="shared" si="1"/>
        <v>0</v>
      </c>
      <c r="U27" s="3">
        <f t="shared" si="2"/>
        <v>250</v>
      </c>
      <c r="V27" s="13"/>
      <c r="W27" s="3"/>
      <c r="X27" s="24">
        <v>3000</v>
      </c>
      <c r="Y27" s="3">
        <v>595</v>
      </c>
      <c r="Z27" s="24">
        <v>135</v>
      </c>
      <c r="AA27" s="3"/>
      <c r="AB27" s="3"/>
      <c r="AC27" s="3"/>
      <c r="AD27" s="3"/>
      <c r="AE27" s="3"/>
      <c r="AF27" s="3"/>
      <c r="AG27" s="3"/>
      <c r="AH27" s="11"/>
      <c r="AI27" s="12"/>
      <c r="AJ27" s="12"/>
      <c r="AK27" s="12"/>
    </row>
    <row r="28" spans="1:37" x14ac:dyDescent="0.25">
      <c r="A28">
        <v>15350</v>
      </c>
      <c r="B28">
        <v>4200</v>
      </c>
      <c r="C28">
        <v>0</v>
      </c>
      <c r="D28">
        <v>15100</v>
      </c>
      <c r="E28">
        <v>4200</v>
      </c>
      <c r="F28">
        <v>0</v>
      </c>
      <c r="G28">
        <v>2500</v>
      </c>
      <c r="H28" s="1"/>
      <c r="I28" s="1"/>
      <c r="J28" s="3">
        <v>15350</v>
      </c>
      <c r="K28" s="3">
        <v>4200</v>
      </c>
      <c r="L28" s="3">
        <v>0</v>
      </c>
      <c r="M28" s="3">
        <v>15100</v>
      </c>
      <c r="N28" s="3">
        <v>4200</v>
      </c>
      <c r="O28" s="3">
        <v>0</v>
      </c>
      <c r="P28" s="3">
        <v>2500</v>
      </c>
      <c r="Q28" s="3"/>
      <c r="R28" s="3">
        <f t="shared" si="0"/>
        <v>250</v>
      </c>
      <c r="S28" s="3">
        <v>605</v>
      </c>
      <c r="T28" s="3">
        <f t="shared" si="1"/>
        <v>0</v>
      </c>
      <c r="U28" s="3">
        <f t="shared" si="2"/>
        <v>250</v>
      </c>
      <c r="V28" s="13"/>
      <c r="W28" s="3"/>
      <c r="X28" s="24">
        <v>3000</v>
      </c>
      <c r="Y28" s="3">
        <v>135</v>
      </c>
      <c r="Z28" s="24">
        <v>135</v>
      </c>
      <c r="AA28" s="3">
        <f>SUM(Z26:Z28)</f>
        <v>405</v>
      </c>
      <c r="AB28" s="3">
        <v>1</v>
      </c>
      <c r="AC28" s="3"/>
      <c r="AD28" s="3"/>
      <c r="AE28" s="3"/>
      <c r="AF28" s="3"/>
      <c r="AG28" s="3"/>
      <c r="AH28" s="11"/>
      <c r="AI28" s="12"/>
      <c r="AJ28" s="12"/>
      <c r="AK28" s="12"/>
    </row>
    <row r="29" spans="1:37" x14ac:dyDescent="0.25">
      <c r="A29">
        <v>15100</v>
      </c>
      <c r="B29">
        <v>2850</v>
      </c>
      <c r="C29">
        <v>0</v>
      </c>
      <c r="D29">
        <v>15350</v>
      </c>
      <c r="E29">
        <v>2850</v>
      </c>
      <c r="F29">
        <v>0</v>
      </c>
      <c r="G29">
        <v>2500</v>
      </c>
      <c r="H29" s="1"/>
      <c r="I29" s="1"/>
      <c r="J29" s="3">
        <v>15100</v>
      </c>
      <c r="K29" s="3">
        <v>2850</v>
      </c>
      <c r="L29" s="3">
        <v>0</v>
      </c>
      <c r="M29" s="3">
        <v>15350</v>
      </c>
      <c r="N29" s="3">
        <v>2850</v>
      </c>
      <c r="O29" s="3">
        <v>0</v>
      </c>
      <c r="P29" s="3">
        <v>2500</v>
      </c>
      <c r="Q29" s="3"/>
      <c r="R29" s="3">
        <f t="shared" si="0"/>
        <v>250</v>
      </c>
      <c r="S29" s="3">
        <v>605</v>
      </c>
      <c r="T29" s="3">
        <f t="shared" si="1"/>
        <v>0</v>
      </c>
      <c r="U29" s="3">
        <f t="shared" si="2"/>
        <v>250</v>
      </c>
      <c r="V29" s="13"/>
      <c r="W29" s="3"/>
      <c r="X29" s="24">
        <v>3000</v>
      </c>
      <c r="Y29" s="3">
        <v>300</v>
      </c>
      <c r="Z29" s="24">
        <v>300</v>
      </c>
      <c r="AA29" s="3"/>
      <c r="AB29" s="3"/>
      <c r="AC29" s="3"/>
      <c r="AD29" s="3"/>
      <c r="AE29" s="3"/>
      <c r="AF29" s="3"/>
      <c r="AG29" s="3"/>
      <c r="AH29" s="11"/>
      <c r="AI29" s="12"/>
      <c r="AJ29" s="12"/>
      <c r="AK29" s="12"/>
    </row>
    <row r="30" spans="1:37" x14ac:dyDescent="0.25">
      <c r="A30">
        <v>20200</v>
      </c>
      <c r="B30">
        <v>8300</v>
      </c>
      <c r="C30">
        <v>0</v>
      </c>
      <c r="D30">
        <v>20200</v>
      </c>
      <c r="E30">
        <v>9350</v>
      </c>
      <c r="F30">
        <v>0</v>
      </c>
      <c r="G30">
        <v>3000</v>
      </c>
      <c r="H30" s="1"/>
      <c r="I30" s="1"/>
      <c r="J30" s="3">
        <v>20200</v>
      </c>
      <c r="K30" s="3">
        <v>8300</v>
      </c>
      <c r="L30" s="3">
        <v>0</v>
      </c>
      <c r="M30" s="3">
        <v>20200</v>
      </c>
      <c r="N30" s="3">
        <v>9350</v>
      </c>
      <c r="O30" s="3">
        <v>0</v>
      </c>
      <c r="P30" s="3">
        <v>3000</v>
      </c>
      <c r="Q30" s="3"/>
      <c r="R30" s="3">
        <f t="shared" si="0"/>
        <v>1050</v>
      </c>
      <c r="S30" s="3">
        <v>605</v>
      </c>
      <c r="T30" s="3">
        <f t="shared" si="1"/>
        <v>1</v>
      </c>
      <c r="U30" s="3">
        <f t="shared" si="2"/>
        <v>445</v>
      </c>
      <c r="V30" s="13"/>
      <c r="W30" s="3"/>
      <c r="X30" s="24">
        <v>3000</v>
      </c>
      <c r="Y30" s="3">
        <v>595</v>
      </c>
      <c r="Z30" s="24">
        <v>300</v>
      </c>
      <c r="AA30" s="3">
        <f>SUM(Z29:Z30)</f>
        <v>600</v>
      </c>
      <c r="AB30" s="3">
        <v>1</v>
      </c>
      <c r="AC30" s="3"/>
      <c r="AD30" s="3"/>
      <c r="AE30" s="3"/>
      <c r="AF30" s="3"/>
      <c r="AG30" s="3"/>
      <c r="AH30" s="11"/>
      <c r="AI30" s="12"/>
      <c r="AJ30" s="12"/>
      <c r="AK30" s="12"/>
    </row>
    <row r="31" spans="1:37" x14ac:dyDescent="0.25">
      <c r="A31">
        <v>21250</v>
      </c>
      <c r="B31">
        <v>6450</v>
      </c>
      <c r="C31">
        <v>0</v>
      </c>
      <c r="D31">
        <v>20200</v>
      </c>
      <c r="E31">
        <v>6450</v>
      </c>
      <c r="F31">
        <v>0</v>
      </c>
      <c r="G31">
        <v>2500</v>
      </c>
      <c r="H31" s="1"/>
      <c r="I31" s="1"/>
      <c r="J31" s="3">
        <v>21250</v>
      </c>
      <c r="K31" s="3">
        <v>6450</v>
      </c>
      <c r="L31" s="3">
        <v>0</v>
      </c>
      <c r="M31" s="3">
        <v>20200</v>
      </c>
      <c r="N31" s="3">
        <v>6450</v>
      </c>
      <c r="O31" s="3">
        <v>0</v>
      </c>
      <c r="P31" s="3">
        <v>2500</v>
      </c>
      <c r="Q31" s="3"/>
      <c r="R31" s="3">
        <f t="shared" si="0"/>
        <v>1050</v>
      </c>
      <c r="S31" s="3">
        <v>605</v>
      </c>
      <c r="T31" s="3">
        <f t="shared" si="1"/>
        <v>1</v>
      </c>
      <c r="U31" s="3">
        <f t="shared" si="2"/>
        <v>445</v>
      </c>
      <c r="V31" s="13"/>
      <c r="W31" s="3"/>
      <c r="X31" s="24">
        <v>3000</v>
      </c>
      <c r="Y31" s="3">
        <v>135</v>
      </c>
      <c r="Z31" s="24">
        <v>350</v>
      </c>
      <c r="AA31" s="3">
        <f t="shared" ref="AA31:AA35" si="7">SUM(Z31)</f>
        <v>350</v>
      </c>
      <c r="AB31" s="3">
        <v>1</v>
      </c>
      <c r="AC31" s="3"/>
      <c r="AD31" s="3"/>
      <c r="AE31" s="3"/>
      <c r="AF31" s="3"/>
      <c r="AG31" s="3"/>
      <c r="AH31" s="11"/>
      <c r="AI31" s="12"/>
      <c r="AJ31" s="12"/>
      <c r="AK31" s="12"/>
    </row>
    <row r="32" spans="1:37" x14ac:dyDescent="0.25">
      <c r="A32">
        <v>20200</v>
      </c>
      <c r="B32">
        <v>6450</v>
      </c>
      <c r="C32">
        <v>0</v>
      </c>
      <c r="D32">
        <v>20200</v>
      </c>
      <c r="E32">
        <v>6700</v>
      </c>
      <c r="F32">
        <v>0</v>
      </c>
      <c r="G32">
        <v>2500</v>
      </c>
      <c r="H32" s="1"/>
      <c r="I32" s="1"/>
      <c r="J32" s="3">
        <v>20200</v>
      </c>
      <c r="K32" s="3">
        <v>6450</v>
      </c>
      <c r="L32" s="3">
        <v>0</v>
      </c>
      <c r="M32" s="3">
        <v>20200</v>
      </c>
      <c r="N32" s="3">
        <v>6700</v>
      </c>
      <c r="O32" s="3">
        <v>0</v>
      </c>
      <c r="P32" s="3">
        <v>2500</v>
      </c>
      <c r="Q32" s="3"/>
      <c r="R32" s="3">
        <f t="shared" si="0"/>
        <v>250</v>
      </c>
      <c r="S32" s="3">
        <v>605</v>
      </c>
      <c r="T32" s="3">
        <f t="shared" si="1"/>
        <v>0</v>
      </c>
      <c r="U32" s="3">
        <f t="shared" si="2"/>
        <v>250</v>
      </c>
      <c r="V32" s="13"/>
      <c r="W32" s="3"/>
      <c r="X32" s="24">
        <v>3000</v>
      </c>
      <c r="Y32" s="3">
        <v>350</v>
      </c>
      <c r="Z32" s="24">
        <v>445</v>
      </c>
      <c r="AA32" s="3">
        <f t="shared" si="7"/>
        <v>445</v>
      </c>
      <c r="AB32" s="3">
        <v>1</v>
      </c>
      <c r="AC32" s="3"/>
      <c r="AD32" s="3"/>
      <c r="AE32" s="3"/>
      <c r="AF32" s="3"/>
      <c r="AG32" s="3"/>
      <c r="AH32" s="11"/>
      <c r="AI32" s="12"/>
      <c r="AJ32" s="12"/>
      <c r="AK32" s="12"/>
    </row>
    <row r="33" spans="1:37" x14ac:dyDescent="0.25">
      <c r="A33">
        <v>22000</v>
      </c>
      <c r="B33">
        <v>4200</v>
      </c>
      <c r="C33">
        <v>0</v>
      </c>
      <c r="D33">
        <v>21750</v>
      </c>
      <c r="E33">
        <v>4200</v>
      </c>
      <c r="F33">
        <v>0</v>
      </c>
      <c r="G33">
        <v>2500</v>
      </c>
      <c r="H33" s="1"/>
      <c r="I33" s="1"/>
      <c r="J33" s="3">
        <v>22000</v>
      </c>
      <c r="K33" s="3">
        <v>4200</v>
      </c>
      <c r="L33" s="3">
        <v>0</v>
      </c>
      <c r="M33" s="3">
        <v>21750</v>
      </c>
      <c r="N33" s="3">
        <v>4200</v>
      </c>
      <c r="O33" s="3">
        <v>0</v>
      </c>
      <c r="P33" s="3">
        <v>2500</v>
      </c>
      <c r="Q33" s="3"/>
      <c r="R33" s="3">
        <f t="shared" si="0"/>
        <v>250</v>
      </c>
      <c r="S33" s="3">
        <v>605</v>
      </c>
      <c r="T33" s="3">
        <f t="shared" si="1"/>
        <v>0</v>
      </c>
      <c r="U33" s="3">
        <f t="shared" si="2"/>
        <v>250</v>
      </c>
      <c r="V33" s="13"/>
      <c r="W33" s="3"/>
      <c r="X33" s="24">
        <v>3000</v>
      </c>
      <c r="Y33" s="3">
        <v>40</v>
      </c>
      <c r="Z33" s="24">
        <v>445</v>
      </c>
      <c r="AA33" s="3">
        <f t="shared" si="7"/>
        <v>445</v>
      </c>
      <c r="AB33" s="3">
        <v>1</v>
      </c>
      <c r="AC33" s="3"/>
      <c r="AD33" s="3"/>
      <c r="AE33" s="3"/>
      <c r="AF33" s="3"/>
      <c r="AG33" s="3"/>
      <c r="AH33" s="11"/>
      <c r="AI33" s="12"/>
      <c r="AJ33" s="12"/>
      <c r="AK33" s="12"/>
    </row>
    <row r="34" spans="1:37" x14ac:dyDescent="0.25">
      <c r="A34">
        <v>21750</v>
      </c>
      <c r="B34">
        <v>2850</v>
      </c>
      <c r="C34">
        <v>0</v>
      </c>
      <c r="D34">
        <v>22000</v>
      </c>
      <c r="E34">
        <v>2850</v>
      </c>
      <c r="F34">
        <v>0</v>
      </c>
      <c r="G34">
        <v>2500</v>
      </c>
      <c r="H34" s="1"/>
      <c r="I34" s="1"/>
      <c r="J34" s="3">
        <v>21750</v>
      </c>
      <c r="K34" s="3">
        <v>2850</v>
      </c>
      <c r="L34" s="3">
        <v>0</v>
      </c>
      <c r="M34" s="3">
        <v>22000</v>
      </c>
      <c r="N34" s="3">
        <v>2850</v>
      </c>
      <c r="O34" s="3">
        <v>0</v>
      </c>
      <c r="P34" s="3">
        <v>2500</v>
      </c>
      <c r="Q34" s="3"/>
      <c r="R34" s="3">
        <f t="shared" si="0"/>
        <v>250</v>
      </c>
      <c r="S34" s="3">
        <v>605</v>
      </c>
      <c r="T34" s="3">
        <f t="shared" si="1"/>
        <v>0</v>
      </c>
      <c r="U34" s="3">
        <f t="shared" si="2"/>
        <v>250</v>
      </c>
      <c r="V34" s="13"/>
      <c r="W34" s="3"/>
      <c r="X34" s="24">
        <v>3000</v>
      </c>
      <c r="Y34" s="3">
        <v>445</v>
      </c>
      <c r="Z34" s="24">
        <v>595</v>
      </c>
      <c r="AA34" s="3">
        <f t="shared" si="7"/>
        <v>595</v>
      </c>
      <c r="AB34" s="3">
        <v>1</v>
      </c>
      <c r="AC34" s="3"/>
      <c r="AD34" s="3"/>
      <c r="AE34" s="3"/>
      <c r="AF34" s="3"/>
      <c r="AG34" s="3"/>
      <c r="AH34" s="11"/>
      <c r="AI34" s="12"/>
      <c r="AJ34" s="12"/>
      <c r="AK34" s="12"/>
    </row>
    <row r="35" spans="1:37" x14ac:dyDescent="0.25">
      <c r="A35">
        <v>32150</v>
      </c>
      <c r="B35">
        <v>20224</v>
      </c>
      <c r="C35">
        <v>0</v>
      </c>
      <c r="D35">
        <v>30700</v>
      </c>
      <c r="E35">
        <v>20224</v>
      </c>
      <c r="F35">
        <v>0</v>
      </c>
      <c r="G35">
        <v>2500</v>
      </c>
      <c r="H35" s="1"/>
      <c r="I35" s="1"/>
      <c r="J35" s="3">
        <v>32150</v>
      </c>
      <c r="K35" s="3">
        <v>20224</v>
      </c>
      <c r="L35" s="3">
        <v>0</v>
      </c>
      <c r="M35" s="3">
        <v>30700</v>
      </c>
      <c r="N35" s="3">
        <v>20224</v>
      </c>
      <c r="O35" s="3">
        <v>0</v>
      </c>
      <c r="P35" s="3">
        <v>2500</v>
      </c>
      <c r="Q35" s="3"/>
      <c r="R35" s="3">
        <f t="shared" si="0"/>
        <v>1450</v>
      </c>
      <c r="S35" s="3">
        <v>605</v>
      </c>
      <c r="T35" s="3">
        <f t="shared" si="1"/>
        <v>2</v>
      </c>
      <c r="U35" s="3">
        <f t="shared" si="2"/>
        <v>240</v>
      </c>
      <c r="V35" s="13"/>
      <c r="W35" s="3"/>
      <c r="X35" s="24">
        <v>3000</v>
      </c>
      <c r="Y35" s="3">
        <v>445</v>
      </c>
      <c r="Z35" s="24">
        <v>595</v>
      </c>
      <c r="AA35" s="3">
        <f t="shared" si="7"/>
        <v>595</v>
      </c>
      <c r="AB35" s="3">
        <v>1</v>
      </c>
      <c r="AC35" s="3">
        <f>SUM(AB25:AB35)</f>
        <v>8</v>
      </c>
      <c r="AD35" s="3"/>
      <c r="AE35" s="3"/>
      <c r="AF35" s="3"/>
      <c r="AG35" s="3"/>
      <c r="AH35" s="11"/>
      <c r="AI35" s="12"/>
      <c r="AJ35" s="12"/>
      <c r="AK35" s="12"/>
    </row>
    <row r="36" spans="1:37" x14ac:dyDescent="0.25">
      <c r="A36" s="2"/>
      <c r="B36" s="2"/>
      <c r="C36" s="2"/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 t="b">
        <f>[1]Sheet1!$O$92=STDEV(P2:P35)</f>
        <v>0</v>
      </c>
      <c r="Q36" s="3"/>
      <c r="R36" s="3"/>
      <c r="S36" s="3"/>
      <c r="T36" s="3">
        <f>SUM(T2:T35)</f>
        <v>47</v>
      </c>
      <c r="U36" s="3">
        <f t="shared" ref="U36:Z36" si="8">STDEV(U2:U35)</f>
        <v>147.0070541676302</v>
      </c>
      <c r="V36" s="3"/>
      <c r="W36" s="3"/>
      <c r="X36" s="3">
        <f t="shared" si="8"/>
        <v>232.938295594278</v>
      </c>
      <c r="Y36" s="3">
        <f t="shared" si="8"/>
        <v>147.00705416763</v>
      </c>
      <c r="Z36" s="3">
        <f t="shared" si="8"/>
        <v>147.00705416763</v>
      </c>
      <c r="AA36" s="3">
        <f>COUNT(AA2:AA35)</f>
        <v>22</v>
      </c>
      <c r="AB36" s="3">
        <f>SUM(AB2:AB35)</f>
        <v>22</v>
      </c>
      <c r="AC36" s="3"/>
      <c r="AD36" s="3"/>
      <c r="AE36" s="3"/>
      <c r="AF36" s="3"/>
      <c r="AG36" s="3"/>
      <c r="AH36" s="11"/>
      <c r="AI36" s="12"/>
      <c r="AJ36" s="12"/>
      <c r="AK36" s="12"/>
    </row>
    <row r="37" spans="1:37" x14ac:dyDescent="0.25">
      <c r="A37" s="1"/>
      <c r="B37" s="1"/>
      <c r="C37" s="1"/>
      <c r="D37" s="1"/>
      <c r="E37" s="1"/>
      <c r="F37" s="1"/>
      <c r="G37" s="1"/>
      <c r="H37" s="1"/>
      <c r="I37" s="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2"/>
      <c r="AI37" s="12"/>
      <c r="AJ37" s="12"/>
      <c r="AK37" s="12"/>
    </row>
    <row r="38" spans="1:37" x14ac:dyDescent="0.25"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49" spans="9:33" ht="16.2" x14ac:dyDescent="0.25">
      <c r="I49" s="41" t="s">
        <v>24</v>
      </c>
      <c r="J49" s="41" t="s">
        <v>0</v>
      </c>
      <c r="K49" s="41" t="s">
        <v>1</v>
      </c>
      <c r="L49" s="41" t="s">
        <v>2</v>
      </c>
      <c r="M49" s="41" t="s">
        <v>3</v>
      </c>
      <c r="N49" s="41" t="s">
        <v>4</v>
      </c>
      <c r="O49" s="41" t="s">
        <v>5</v>
      </c>
      <c r="P49" s="41" t="s">
        <v>6</v>
      </c>
      <c r="Q49" s="4"/>
      <c r="R49" s="5" t="s">
        <v>7</v>
      </c>
      <c r="S49" s="6" t="s">
        <v>11</v>
      </c>
      <c r="T49" s="7" t="s">
        <v>12</v>
      </c>
      <c r="U49" s="8" t="s">
        <v>13</v>
      </c>
      <c r="V49" s="4"/>
      <c r="W49" s="16" t="s">
        <v>8</v>
      </c>
      <c r="X49" s="16" t="s">
        <v>22</v>
      </c>
      <c r="Y49" s="17" t="s">
        <v>14</v>
      </c>
      <c r="Z49" s="18" t="s">
        <v>9</v>
      </c>
      <c r="AA49" s="19" t="s">
        <v>23</v>
      </c>
      <c r="AB49" s="20" t="s">
        <v>15</v>
      </c>
      <c r="AC49" s="10"/>
      <c r="AD49" s="10"/>
      <c r="AE49" s="10"/>
      <c r="AF49" s="10"/>
      <c r="AG49" s="11"/>
    </row>
    <row r="50" spans="9:33" x14ac:dyDescent="0.25">
      <c r="I50" s="34">
        <v>1</v>
      </c>
      <c r="J50" s="4">
        <v>15800</v>
      </c>
      <c r="K50" s="4">
        <v>30400</v>
      </c>
      <c r="L50" s="4">
        <v>0</v>
      </c>
      <c r="M50" s="4">
        <v>15800</v>
      </c>
      <c r="N50" s="4">
        <v>31850</v>
      </c>
      <c r="O50" s="4">
        <v>0</v>
      </c>
      <c r="P50" s="40">
        <v>2500</v>
      </c>
      <c r="Q50" s="4"/>
      <c r="R50" s="34">
        <f t="shared" ref="R50:R83" si="9">((J50-M50)^2+(K50-N50)^2)^0.5</f>
        <v>1450</v>
      </c>
      <c r="S50" s="4">
        <v>605</v>
      </c>
      <c r="T50" s="4">
        <f t="shared" ref="T50:T83" si="10">QUOTIENT(R50,S50)</f>
        <v>2</v>
      </c>
      <c r="U50" s="40">
        <f t="shared" ref="U50:U83" si="11">MOD(R50,S50)</f>
        <v>240</v>
      </c>
      <c r="V50" s="9"/>
      <c r="W50" s="42">
        <v>2500</v>
      </c>
      <c r="X50" s="4">
        <v>240</v>
      </c>
      <c r="Y50" s="33">
        <v>190</v>
      </c>
      <c r="Z50" s="3"/>
      <c r="AA50" s="3"/>
      <c r="AB50" s="35"/>
      <c r="AC50" s="10"/>
      <c r="AD50" s="10"/>
      <c r="AE50" s="10"/>
      <c r="AF50" s="10"/>
      <c r="AG50" s="11"/>
    </row>
    <row r="51" spans="9:33" x14ac:dyDescent="0.25">
      <c r="I51" s="34">
        <v>2</v>
      </c>
      <c r="J51" s="4">
        <v>15700</v>
      </c>
      <c r="K51" s="4">
        <v>30200</v>
      </c>
      <c r="L51" s="4">
        <v>0</v>
      </c>
      <c r="M51" s="4">
        <v>15700</v>
      </c>
      <c r="N51" s="4">
        <v>30400</v>
      </c>
      <c r="O51" s="4">
        <v>0</v>
      </c>
      <c r="P51" s="40">
        <v>2500</v>
      </c>
      <c r="Q51" s="4"/>
      <c r="R51" s="34">
        <f t="shared" si="9"/>
        <v>200</v>
      </c>
      <c r="S51" s="4">
        <v>605</v>
      </c>
      <c r="T51" s="4">
        <f t="shared" si="10"/>
        <v>0</v>
      </c>
      <c r="U51" s="40">
        <f t="shared" si="11"/>
        <v>200</v>
      </c>
      <c r="V51" s="9"/>
      <c r="W51" s="42">
        <v>2500</v>
      </c>
      <c r="X51" s="4">
        <v>200</v>
      </c>
      <c r="Y51" s="33">
        <v>190</v>
      </c>
      <c r="Z51" s="3"/>
      <c r="AA51" s="3"/>
      <c r="AB51" s="35"/>
      <c r="AC51" s="10"/>
      <c r="AD51" s="10"/>
      <c r="AE51" s="10"/>
      <c r="AF51" s="10"/>
      <c r="AG51" s="11"/>
    </row>
    <row r="52" spans="9:33" x14ac:dyDescent="0.25">
      <c r="I52" s="34">
        <v>3</v>
      </c>
      <c r="J52" s="4">
        <v>15800</v>
      </c>
      <c r="K52" s="4">
        <v>26600</v>
      </c>
      <c r="L52" s="4">
        <v>0</v>
      </c>
      <c r="M52" s="4">
        <v>18750</v>
      </c>
      <c r="N52" s="4">
        <v>26600</v>
      </c>
      <c r="O52" s="4">
        <v>0</v>
      </c>
      <c r="P52" s="40">
        <v>2600</v>
      </c>
      <c r="Q52" s="4"/>
      <c r="R52" s="34">
        <f t="shared" si="9"/>
        <v>2950</v>
      </c>
      <c r="S52" s="4">
        <v>605</v>
      </c>
      <c r="T52" s="4">
        <f t="shared" si="10"/>
        <v>4</v>
      </c>
      <c r="U52" s="40">
        <f t="shared" si="11"/>
        <v>530</v>
      </c>
      <c r="V52" s="9"/>
      <c r="W52" s="42">
        <v>2500</v>
      </c>
      <c r="X52" s="4">
        <v>440</v>
      </c>
      <c r="Y52" s="33">
        <v>190</v>
      </c>
      <c r="Z52" s="3">
        <f>SUM(Y50:Y52)</f>
        <v>570</v>
      </c>
      <c r="AA52" s="3">
        <v>1</v>
      </c>
      <c r="AB52" s="35"/>
      <c r="AC52" s="10"/>
      <c r="AD52" s="10"/>
      <c r="AE52" s="10"/>
      <c r="AF52" s="10"/>
      <c r="AG52" s="11"/>
    </row>
    <row r="53" spans="9:33" x14ac:dyDescent="0.25">
      <c r="I53" s="34">
        <v>4</v>
      </c>
      <c r="J53" s="4">
        <v>15800</v>
      </c>
      <c r="K53" s="4">
        <v>26600</v>
      </c>
      <c r="L53" s="4">
        <v>0</v>
      </c>
      <c r="M53" s="4">
        <v>15800</v>
      </c>
      <c r="N53" s="4">
        <v>24950</v>
      </c>
      <c r="O53" s="4">
        <v>0</v>
      </c>
      <c r="P53" s="40">
        <v>2500</v>
      </c>
      <c r="Q53" s="4"/>
      <c r="R53" s="34">
        <f t="shared" si="9"/>
        <v>1650</v>
      </c>
      <c r="S53" s="4">
        <v>605</v>
      </c>
      <c r="T53" s="4">
        <f t="shared" si="10"/>
        <v>2</v>
      </c>
      <c r="U53" s="40">
        <f t="shared" si="11"/>
        <v>440</v>
      </c>
      <c r="V53" s="9"/>
      <c r="W53" s="42">
        <v>2500</v>
      </c>
      <c r="X53" s="4">
        <v>190</v>
      </c>
      <c r="Y53" s="33">
        <v>200</v>
      </c>
      <c r="Z53" s="3"/>
      <c r="AA53" s="3"/>
      <c r="AB53" s="35"/>
      <c r="AC53" s="10"/>
      <c r="AD53" s="10"/>
      <c r="AE53" s="10"/>
      <c r="AF53" s="10"/>
      <c r="AG53" s="11"/>
    </row>
    <row r="54" spans="9:33" x14ac:dyDescent="0.25">
      <c r="I54" s="34">
        <v>5</v>
      </c>
      <c r="J54" s="4">
        <v>15800</v>
      </c>
      <c r="K54" s="4">
        <v>26600</v>
      </c>
      <c r="L54" s="4">
        <v>0</v>
      </c>
      <c r="M54" s="4">
        <v>15800</v>
      </c>
      <c r="N54" s="4">
        <v>28000</v>
      </c>
      <c r="O54" s="4">
        <v>0</v>
      </c>
      <c r="P54" s="40">
        <v>2500</v>
      </c>
      <c r="Q54" s="4"/>
      <c r="R54" s="34">
        <f t="shared" si="9"/>
        <v>1400</v>
      </c>
      <c r="S54" s="4">
        <v>605</v>
      </c>
      <c r="T54" s="4">
        <f t="shared" si="10"/>
        <v>2</v>
      </c>
      <c r="U54" s="40">
        <f t="shared" si="11"/>
        <v>190</v>
      </c>
      <c r="V54" s="9"/>
      <c r="W54" s="42">
        <v>2500</v>
      </c>
      <c r="X54" s="4">
        <v>240</v>
      </c>
      <c r="Y54" s="33">
        <v>200</v>
      </c>
      <c r="Z54" s="3"/>
      <c r="AA54" s="3"/>
      <c r="AB54" s="35"/>
      <c r="AC54" s="10"/>
      <c r="AD54" s="10"/>
      <c r="AE54" s="10"/>
      <c r="AF54" s="10"/>
      <c r="AG54" s="11"/>
    </row>
    <row r="55" spans="9:33" x14ac:dyDescent="0.25">
      <c r="I55" s="34">
        <v>6</v>
      </c>
      <c r="J55" s="4">
        <v>14200</v>
      </c>
      <c r="K55" s="4">
        <v>20350</v>
      </c>
      <c r="L55" s="4">
        <v>0</v>
      </c>
      <c r="M55" s="4">
        <v>14200</v>
      </c>
      <c r="N55" s="4">
        <v>22300</v>
      </c>
      <c r="O55" s="4">
        <v>0</v>
      </c>
      <c r="P55" s="40">
        <v>3000</v>
      </c>
      <c r="Q55" s="4"/>
      <c r="R55" s="34">
        <f t="shared" si="9"/>
        <v>1950</v>
      </c>
      <c r="S55" s="4">
        <v>605</v>
      </c>
      <c r="T55" s="4">
        <f t="shared" si="10"/>
        <v>3</v>
      </c>
      <c r="U55" s="40">
        <f t="shared" si="11"/>
        <v>135</v>
      </c>
      <c r="V55" s="9"/>
      <c r="W55" s="42">
        <v>2500</v>
      </c>
      <c r="X55" s="4">
        <v>200</v>
      </c>
      <c r="Y55" s="33">
        <v>200</v>
      </c>
      <c r="Z55" s="3">
        <f>SUM(Y53:Y55)</f>
        <v>600</v>
      </c>
      <c r="AA55" s="3">
        <v>1</v>
      </c>
      <c r="AB55" s="35"/>
      <c r="AG55" s="11"/>
    </row>
    <row r="56" spans="9:33" x14ac:dyDescent="0.25">
      <c r="I56" s="34">
        <v>7</v>
      </c>
      <c r="J56" s="3">
        <v>14200</v>
      </c>
      <c r="K56" s="3">
        <v>22300</v>
      </c>
      <c r="L56" s="3">
        <v>0</v>
      </c>
      <c r="M56" s="3">
        <v>14500</v>
      </c>
      <c r="N56" s="3">
        <v>22300</v>
      </c>
      <c r="O56" s="3">
        <v>0</v>
      </c>
      <c r="P56" s="35">
        <v>3000</v>
      </c>
      <c r="Q56" s="3"/>
      <c r="R56" s="36">
        <f t="shared" si="9"/>
        <v>300</v>
      </c>
      <c r="S56" s="3">
        <v>605</v>
      </c>
      <c r="T56" s="3">
        <f t="shared" si="10"/>
        <v>0</v>
      </c>
      <c r="U56" s="35">
        <f t="shared" si="11"/>
        <v>300</v>
      </c>
      <c r="V56" s="13"/>
      <c r="W56" s="43">
        <v>2500</v>
      </c>
      <c r="X56" s="3">
        <v>440</v>
      </c>
      <c r="Y56" s="47">
        <v>240</v>
      </c>
      <c r="Z56" s="3"/>
      <c r="AA56" s="3"/>
      <c r="AB56" s="35"/>
      <c r="AG56" s="11"/>
    </row>
    <row r="57" spans="9:33" x14ac:dyDescent="0.25">
      <c r="I57" s="34">
        <v>8</v>
      </c>
      <c r="J57" s="3">
        <v>14500</v>
      </c>
      <c r="K57" s="3">
        <v>22300</v>
      </c>
      <c r="L57" s="3">
        <v>0</v>
      </c>
      <c r="M57" s="3">
        <v>14500</v>
      </c>
      <c r="N57" s="3">
        <v>23500</v>
      </c>
      <c r="O57" s="3">
        <v>0</v>
      </c>
      <c r="P57" s="35">
        <v>3000</v>
      </c>
      <c r="Q57" s="3"/>
      <c r="R57" s="36">
        <f t="shared" si="9"/>
        <v>1200</v>
      </c>
      <c r="S57" s="3">
        <v>605</v>
      </c>
      <c r="T57" s="3">
        <f t="shared" si="10"/>
        <v>1</v>
      </c>
      <c r="U57" s="35">
        <f t="shared" si="11"/>
        <v>595</v>
      </c>
      <c r="V57" s="13"/>
      <c r="W57" s="43">
        <v>2500</v>
      </c>
      <c r="X57" s="3">
        <v>190</v>
      </c>
      <c r="Y57" s="47">
        <v>240</v>
      </c>
      <c r="Z57" s="3">
        <f t="shared" ref="Z57" si="12">SUM(Y56:Y57)</f>
        <v>480</v>
      </c>
      <c r="AA57" s="3">
        <v>1</v>
      </c>
      <c r="AB57" s="35"/>
      <c r="AG57" s="11"/>
    </row>
    <row r="58" spans="9:33" x14ac:dyDescent="0.25">
      <c r="I58" s="34">
        <v>9</v>
      </c>
      <c r="J58" s="3">
        <v>3200</v>
      </c>
      <c r="K58" s="3">
        <v>14100</v>
      </c>
      <c r="L58" s="3">
        <v>0</v>
      </c>
      <c r="M58" s="3">
        <v>1750</v>
      </c>
      <c r="N58" s="3">
        <v>14100</v>
      </c>
      <c r="O58" s="3">
        <v>0</v>
      </c>
      <c r="P58" s="35">
        <v>2500</v>
      </c>
      <c r="Q58" s="3"/>
      <c r="R58" s="36">
        <f t="shared" si="9"/>
        <v>1450</v>
      </c>
      <c r="S58" s="3">
        <v>605</v>
      </c>
      <c r="T58" s="3">
        <f t="shared" si="10"/>
        <v>2</v>
      </c>
      <c r="U58" s="35">
        <f t="shared" si="11"/>
        <v>240</v>
      </c>
      <c r="V58" s="13"/>
      <c r="W58" s="43">
        <v>2500</v>
      </c>
      <c r="X58" s="3">
        <v>200</v>
      </c>
      <c r="Y58" s="47">
        <v>240</v>
      </c>
      <c r="Z58" s="3"/>
      <c r="AA58" s="3"/>
      <c r="AB58" s="35"/>
      <c r="AG58" s="11"/>
    </row>
    <row r="59" spans="9:33" x14ac:dyDescent="0.25">
      <c r="I59" s="34">
        <v>10</v>
      </c>
      <c r="J59" s="3">
        <v>3400</v>
      </c>
      <c r="K59" s="3">
        <v>14000</v>
      </c>
      <c r="L59" s="3">
        <v>0</v>
      </c>
      <c r="M59" s="3">
        <v>3200</v>
      </c>
      <c r="N59" s="3">
        <v>14000</v>
      </c>
      <c r="O59" s="3">
        <v>0</v>
      </c>
      <c r="P59" s="35">
        <v>2500</v>
      </c>
      <c r="Q59" s="3"/>
      <c r="R59" s="36">
        <f t="shared" si="9"/>
        <v>200</v>
      </c>
      <c r="S59" s="3">
        <v>605</v>
      </c>
      <c r="T59" s="3">
        <f t="shared" si="10"/>
        <v>0</v>
      </c>
      <c r="U59" s="35">
        <f t="shared" si="11"/>
        <v>200</v>
      </c>
      <c r="V59" s="13"/>
      <c r="W59" s="43">
        <v>2500</v>
      </c>
      <c r="X59" s="3">
        <v>440</v>
      </c>
      <c r="Y59" s="47">
        <v>250</v>
      </c>
      <c r="Z59" s="3">
        <f t="shared" ref="Z59" si="13">SUM(Y58:Y59)</f>
        <v>490</v>
      </c>
      <c r="AA59" s="3">
        <v>1</v>
      </c>
      <c r="AB59" s="35"/>
      <c r="AG59" s="11"/>
    </row>
    <row r="60" spans="9:33" x14ac:dyDescent="0.25">
      <c r="I60" s="34">
        <v>11</v>
      </c>
      <c r="J60" s="3">
        <v>7000</v>
      </c>
      <c r="K60" s="3">
        <v>14100</v>
      </c>
      <c r="L60" s="3">
        <v>0</v>
      </c>
      <c r="M60" s="3">
        <v>7000</v>
      </c>
      <c r="N60" s="3">
        <v>17050</v>
      </c>
      <c r="O60" s="3">
        <v>0</v>
      </c>
      <c r="P60" s="35">
        <v>2600</v>
      </c>
      <c r="Q60" s="3"/>
      <c r="R60" s="36">
        <f t="shared" si="9"/>
        <v>2950</v>
      </c>
      <c r="S60" s="3">
        <v>605</v>
      </c>
      <c r="T60" s="3">
        <f t="shared" si="10"/>
        <v>4</v>
      </c>
      <c r="U60" s="35">
        <f t="shared" si="11"/>
        <v>530</v>
      </c>
      <c r="V60" s="13"/>
      <c r="W60" s="43">
        <v>2500</v>
      </c>
      <c r="X60" s="3">
        <v>190</v>
      </c>
      <c r="Y60" s="47">
        <v>250</v>
      </c>
      <c r="Z60" s="3"/>
      <c r="AA60" s="3"/>
      <c r="AB60" s="35"/>
      <c r="AG60" s="11"/>
    </row>
    <row r="61" spans="9:33" x14ac:dyDescent="0.25">
      <c r="I61" s="34">
        <v>12</v>
      </c>
      <c r="J61" s="3">
        <v>7000</v>
      </c>
      <c r="K61" s="3">
        <v>14100</v>
      </c>
      <c r="L61" s="3">
        <v>0</v>
      </c>
      <c r="M61" s="3">
        <v>8650</v>
      </c>
      <c r="N61" s="3">
        <v>14100</v>
      </c>
      <c r="O61" s="3">
        <v>0</v>
      </c>
      <c r="P61" s="35">
        <v>2500</v>
      </c>
      <c r="Q61" s="3"/>
      <c r="R61" s="36">
        <f t="shared" si="9"/>
        <v>1650</v>
      </c>
      <c r="S61" s="3">
        <v>605</v>
      </c>
      <c r="T61" s="3">
        <f t="shared" si="10"/>
        <v>2</v>
      </c>
      <c r="U61" s="35">
        <f t="shared" si="11"/>
        <v>440</v>
      </c>
      <c r="V61" s="13"/>
      <c r="W61" s="43">
        <v>2500</v>
      </c>
      <c r="X61" s="3">
        <v>445</v>
      </c>
      <c r="Y61" s="47">
        <v>250</v>
      </c>
      <c r="Z61" s="3">
        <f t="shared" ref="Z61" si="14">SUM(Y60:Y61)</f>
        <v>500</v>
      </c>
      <c r="AA61" s="3">
        <v>1</v>
      </c>
      <c r="AB61" s="35"/>
      <c r="AC61" s="3"/>
      <c r="AD61" s="3"/>
      <c r="AE61" s="3"/>
      <c r="AF61" s="3"/>
      <c r="AG61" s="11"/>
    </row>
    <row r="62" spans="9:33" x14ac:dyDescent="0.25">
      <c r="I62" s="34">
        <v>13</v>
      </c>
      <c r="J62" s="3">
        <v>7000</v>
      </c>
      <c r="K62" s="3">
        <v>14100</v>
      </c>
      <c r="L62" s="3">
        <v>0</v>
      </c>
      <c r="M62" s="3">
        <v>5600</v>
      </c>
      <c r="N62" s="3">
        <v>14100</v>
      </c>
      <c r="O62" s="3">
        <v>0</v>
      </c>
      <c r="P62" s="35">
        <v>2500</v>
      </c>
      <c r="Q62" s="3"/>
      <c r="R62" s="36">
        <f t="shared" si="9"/>
        <v>1400</v>
      </c>
      <c r="S62" s="3">
        <v>605</v>
      </c>
      <c r="T62" s="3">
        <f t="shared" si="10"/>
        <v>2</v>
      </c>
      <c r="U62" s="35">
        <f t="shared" si="11"/>
        <v>190</v>
      </c>
      <c r="V62" s="13"/>
      <c r="W62" s="43">
        <v>2500</v>
      </c>
      <c r="X62" s="3">
        <v>250</v>
      </c>
      <c r="Y62" s="47">
        <v>250</v>
      </c>
      <c r="Z62" s="3"/>
      <c r="AA62" s="3"/>
      <c r="AB62" s="35"/>
      <c r="AC62" s="3"/>
      <c r="AD62" s="3"/>
      <c r="AE62" s="3"/>
      <c r="AF62" s="3"/>
      <c r="AG62" s="11"/>
    </row>
    <row r="63" spans="9:33" x14ac:dyDescent="0.25">
      <c r="I63" s="34">
        <v>14</v>
      </c>
      <c r="J63" s="3">
        <v>13250</v>
      </c>
      <c r="K63" s="3">
        <v>12500</v>
      </c>
      <c r="L63" s="3">
        <v>0</v>
      </c>
      <c r="M63" s="3">
        <v>11300</v>
      </c>
      <c r="N63" s="3">
        <v>12500</v>
      </c>
      <c r="O63" s="3">
        <v>0</v>
      </c>
      <c r="P63" s="35">
        <v>3000</v>
      </c>
      <c r="Q63" s="3"/>
      <c r="R63" s="36">
        <f t="shared" si="9"/>
        <v>1950</v>
      </c>
      <c r="S63" s="3">
        <v>605</v>
      </c>
      <c r="T63" s="3">
        <f t="shared" si="10"/>
        <v>3</v>
      </c>
      <c r="U63" s="35">
        <f t="shared" si="11"/>
        <v>135</v>
      </c>
      <c r="V63" s="13"/>
      <c r="W63" s="43">
        <v>2500</v>
      </c>
      <c r="X63" s="3">
        <v>250</v>
      </c>
      <c r="Y63" s="47">
        <v>250</v>
      </c>
      <c r="Z63" s="3">
        <f>SUM(Y62:Y63)</f>
        <v>500</v>
      </c>
      <c r="AA63" s="3">
        <v>1</v>
      </c>
      <c r="AB63" s="35"/>
      <c r="AC63" s="3"/>
      <c r="AD63" s="15" t="s">
        <v>17</v>
      </c>
      <c r="AE63" s="53">
        <v>2500</v>
      </c>
      <c r="AF63" s="53">
        <v>2600</v>
      </c>
      <c r="AG63" s="53">
        <v>3000</v>
      </c>
    </row>
    <row r="64" spans="9:33" x14ac:dyDescent="0.25">
      <c r="I64" s="34">
        <v>15</v>
      </c>
      <c r="J64" s="3">
        <v>11300</v>
      </c>
      <c r="K64" s="3">
        <v>12500</v>
      </c>
      <c r="L64" s="3">
        <v>0</v>
      </c>
      <c r="M64" s="3">
        <v>11300</v>
      </c>
      <c r="N64" s="3">
        <v>12800</v>
      </c>
      <c r="O64" s="3">
        <v>0</v>
      </c>
      <c r="P64" s="35">
        <v>3000</v>
      </c>
      <c r="Q64" s="3"/>
      <c r="R64" s="36">
        <f t="shared" si="9"/>
        <v>300</v>
      </c>
      <c r="S64" s="3">
        <v>605</v>
      </c>
      <c r="T64" s="3">
        <f t="shared" si="10"/>
        <v>0</v>
      </c>
      <c r="U64" s="35">
        <f t="shared" si="11"/>
        <v>300</v>
      </c>
      <c r="V64" s="13"/>
      <c r="W64" s="43">
        <v>2500</v>
      </c>
      <c r="X64" s="3">
        <v>250</v>
      </c>
      <c r="Y64" s="47">
        <v>250</v>
      </c>
      <c r="Z64" s="3">
        <f t="shared" ref="Z64:Z71" si="15">SUM(Y64)</f>
        <v>250</v>
      </c>
      <c r="AA64" s="3">
        <v>1</v>
      </c>
      <c r="AB64" s="35"/>
      <c r="AC64" s="3"/>
      <c r="AD64" s="36" t="s">
        <v>18</v>
      </c>
      <c r="AE64" s="3">
        <v>20</v>
      </c>
      <c r="AF64" s="3">
        <v>12</v>
      </c>
      <c r="AG64" s="35">
        <v>15</v>
      </c>
    </row>
    <row r="65" spans="9:33" x14ac:dyDescent="0.25">
      <c r="I65" s="34">
        <v>16</v>
      </c>
      <c r="J65" s="3">
        <v>11300</v>
      </c>
      <c r="K65" s="3">
        <v>12800</v>
      </c>
      <c r="L65" s="3">
        <v>0</v>
      </c>
      <c r="M65" s="3">
        <v>10100</v>
      </c>
      <c r="N65" s="3">
        <v>12800</v>
      </c>
      <c r="O65" s="3">
        <v>0</v>
      </c>
      <c r="P65" s="35">
        <v>3000</v>
      </c>
      <c r="Q65" s="3"/>
      <c r="R65" s="36">
        <f t="shared" si="9"/>
        <v>1200</v>
      </c>
      <c r="S65" s="3">
        <v>605</v>
      </c>
      <c r="T65" s="3">
        <f t="shared" si="10"/>
        <v>1</v>
      </c>
      <c r="U65" s="35">
        <f t="shared" si="11"/>
        <v>595</v>
      </c>
      <c r="V65" s="13"/>
      <c r="W65" s="43">
        <v>2500</v>
      </c>
      <c r="X65" s="3">
        <v>445</v>
      </c>
      <c r="Y65" s="47">
        <v>440</v>
      </c>
      <c r="Z65" s="3">
        <f t="shared" si="15"/>
        <v>440</v>
      </c>
      <c r="AA65" s="3">
        <v>1</v>
      </c>
      <c r="AB65" s="35"/>
      <c r="AC65" s="3"/>
      <c r="AD65" s="36" t="s">
        <v>19</v>
      </c>
      <c r="AE65" s="3">
        <v>12</v>
      </c>
      <c r="AF65" s="3">
        <v>2</v>
      </c>
      <c r="AG65" s="35">
        <v>8</v>
      </c>
    </row>
    <row r="66" spans="9:33" x14ac:dyDescent="0.25">
      <c r="I66" s="34">
        <v>17</v>
      </c>
      <c r="J66" s="3">
        <v>30700</v>
      </c>
      <c r="K66" s="3">
        <v>20100</v>
      </c>
      <c r="L66" s="3">
        <v>0</v>
      </c>
      <c r="M66" s="3">
        <v>30500</v>
      </c>
      <c r="N66" s="3">
        <v>20100</v>
      </c>
      <c r="O66" s="3">
        <v>0</v>
      </c>
      <c r="P66" s="35">
        <v>2500</v>
      </c>
      <c r="Q66" s="3"/>
      <c r="R66" s="36">
        <f t="shared" si="9"/>
        <v>200</v>
      </c>
      <c r="S66" s="3">
        <v>605</v>
      </c>
      <c r="T66" s="3">
        <f t="shared" si="10"/>
        <v>0</v>
      </c>
      <c r="U66" s="35">
        <f t="shared" si="11"/>
        <v>200</v>
      </c>
      <c r="V66" s="13"/>
      <c r="W66" s="43">
        <v>2500</v>
      </c>
      <c r="X66" s="3">
        <v>250</v>
      </c>
      <c r="Y66" s="47">
        <v>440</v>
      </c>
      <c r="Z66" s="3">
        <f t="shared" si="15"/>
        <v>440</v>
      </c>
      <c r="AA66" s="3">
        <v>1</v>
      </c>
      <c r="AB66" s="35"/>
      <c r="AC66" s="3"/>
      <c r="AD66" s="52" t="s">
        <v>20</v>
      </c>
      <c r="AE66" s="3">
        <f t="shared" ref="AE66:AF66" si="16">SUM(AE64:AE65)</f>
        <v>32</v>
      </c>
      <c r="AF66" s="3">
        <f t="shared" si="16"/>
        <v>14</v>
      </c>
      <c r="AG66" s="35">
        <f>SUM(AG64:AG65)</f>
        <v>23</v>
      </c>
    </row>
    <row r="67" spans="9:33" x14ac:dyDescent="0.25">
      <c r="I67" s="34">
        <v>18</v>
      </c>
      <c r="J67" s="3">
        <v>26900</v>
      </c>
      <c r="K67" s="3">
        <v>23150</v>
      </c>
      <c r="L67" s="3">
        <v>0</v>
      </c>
      <c r="M67" s="3">
        <v>26900</v>
      </c>
      <c r="N67" s="3">
        <v>20200</v>
      </c>
      <c r="O67" s="3">
        <v>0</v>
      </c>
      <c r="P67" s="35">
        <v>2600</v>
      </c>
      <c r="Q67" s="3"/>
      <c r="R67" s="36">
        <f t="shared" si="9"/>
        <v>2950</v>
      </c>
      <c r="S67" s="3">
        <v>605</v>
      </c>
      <c r="T67" s="3">
        <f t="shared" si="10"/>
        <v>4</v>
      </c>
      <c r="U67" s="35">
        <f t="shared" si="11"/>
        <v>530</v>
      </c>
      <c r="V67" s="13"/>
      <c r="W67" s="43">
        <v>2500</v>
      </c>
      <c r="X67" s="3">
        <v>250</v>
      </c>
      <c r="Y67" s="47">
        <v>440</v>
      </c>
      <c r="Z67" s="3">
        <f t="shared" si="15"/>
        <v>440</v>
      </c>
      <c r="AA67" s="3">
        <v>1</v>
      </c>
      <c r="AB67" s="35"/>
      <c r="AC67" s="3"/>
      <c r="AD67" s="36" t="s">
        <v>21</v>
      </c>
      <c r="AE67" s="3">
        <v>12</v>
      </c>
      <c r="AF67" s="3">
        <v>12</v>
      </c>
      <c r="AG67" s="35">
        <v>12</v>
      </c>
    </row>
    <row r="68" spans="9:33" x14ac:dyDescent="0.25">
      <c r="I68" s="34">
        <v>19</v>
      </c>
      <c r="J68" s="3">
        <v>26900</v>
      </c>
      <c r="K68" s="3">
        <v>20200</v>
      </c>
      <c r="L68" s="3">
        <v>0</v>
      </c>
      <c r="M68" s="3">
        <v>25250</v>
      </c>
      <c r="N68" s="3">
        <v>20200</v>
      </c>
      <c r="O68" s="3">
        <v>0</v>
      </c>
      <c r="P68" s="35">
        <v>2500</v>
      </c>
      <c r="Q68" s="3"/>
      <c r="R68" s="36">
        <f t="shared" si="9"/>
        <v>1650</v>
      </c>
      <c r="S68" s="3">
        <v>605</v>
      </c>
      <c r="T68" s="3">
        <f t="shared" si="10"/>
        <v>2</v>
      </c>
      <c r="U68" s="35">
        <f t="shared" si="11"/>
        <v>440</v>
      </c>
      <c r="V68" s="13"/>
      <c r="W68" s="43">
        <v>2500</v>
      </c>
      <c r="X68" s="3">
        <v>250</v>
      </c>
      <c r="Y68" s="47">
        <v>445</v>
      </c>
      <c r="Z68" s="3">
        <f t="shared" si="15"/>
        <v>445</v>
      </c>
      <c r="AA68" s="3">
        <v>1</v>
      </c>
      <c r="AB68" s="35"/>
      <c r="AC68" s="3"/>
      <c r="AD68" s="51" t="s">
        <v>16</v>
      </c>
      <c r="AE68" s="38">
        <f t="shared" ref="AE68:AG68" si="17">ROUNDUP(AE66/AE67,0)</f>
        <v>3</v>
      </c>
      <c r="AF68" s="38">
        <f t="shared" si="17"/>
        <v>2</v>
      </c>
      <c r="AG68" s="39">
        <f t="shared" si="17"/>
        <v>2</v>
      </c>
    </row>
    <row r="69" spans="9:33" x14ac:dyDescent="0.25">
      <c r="I69" s="34">
        <v>20</v>
      </c>
      <c r="J69" s="3">
        <v>26900</v>
      </c>
      <c r="K69" s="3">
        <v>20200</v>
      </c>
      <c r="L69" s="3">
        <v>0</v>
      </c>
      <c r="M69" s="3">
        <v>28300</v>
      </c>
      <c r="N69" s="3">
        <v>20200</v>
      </c>
      <c r="O69" s="3">
        <v>0</v>
      </c>
      <c r="P69" s="35">
        <v>2500</v>
      </c>
      <c r="Q69" s="3"/>
      <c r="R69" s="36">
        <f t="shared" si="9"/>
        <v>1400</v>
      </c>
      <c r="S69" s="3">
        <v>605</v>
      </c>
      <c r="T69" s="3">
        <f t="shared" si="10"/>
        <v>2</v>
      </c>
      <c r="U69" s="35">
        <f t="shared" si="11"/>
        <v>190</v>
      </c>
      <c r="V69" s="13"/>
      <c r="W69" s="43">
        <v>2500</v>
      </c>
      <c r="X69" s="3">
        <v>240</v>
      </c>
      <c r="Y69" s="47">
        <v>445</v>
      </c>
      <c r="Z69" s="3">
        <f t="shared" si="15"/>
        <v>445</v>
      </c>
      <c r="AA69" s="3">
        <v>1</v>
      </c>
      <c r="AB69" s="35">
        <f>SUM(AA52:AA69)</f>
        <v>12</v>
      </c>
      <c r="AC69" s="3"/>
      <c r="AD69" s="3"/>
      <c r="AE69" s="3"/>
      <c r="AF69" s="3"/>
      <c r="AG69" s="11"/>
    </row>
    <row r="70" spans="9:33" x14ac:dyDescent="0.25">
      <c r="I70" s="34">
        <v>21</v>
      </c>
      <c r="J70" s="3">
        <v>22600</v>
      </c>
      <c r="K70" s="3">
        <v>18600</v>
      </c>
      <c r="L70" s="3">
        <v>0</v>
      </c>
      <c r="M70" s="3">
        <v>20650</v>
      </c>
      <c r="N70" s="3">
        <v>18600</v>
      </c>
      <c r="O70" s="3">
        <v>0</v>
      </c>
      <c r="P70" s="35">
        <v>3000</v>
      </c>
      <c r="Q70" s="3"/>
      <c r="R70" s="36">
        <f t="shared" si="9"/>
        <v>1950</v>
      </c>
      <c r="S70" s="3">
        <v>605</v>
      </c>
      <c r="T70" s="3">
        <f t="shared" si="10"/>
        <v>3</v>
      </c>
      <c r="U70" s="35">
        <f t="shared" si="11"/>
        <v>135</v>
      </c>
      <c r="V70" s="13"/>
      <c r="W70" s="44">
        <v>2600</v>
      </c>
      <c r="X70" s="3">
        <v>530</v>
      </c>
      <c r="Y70" s="48">
        <v>530</v>
      </c>
      <c r="Z70" s="3">
        <f t="shared" si="15"/>
        <v>530</v>
      </c>
      <c r="AA70" s="3">
        <v>1</v>
      </c>
      <c r="AB70" s="35"/>
      <c r="AC70" s="3"/>
      <c r="AD70" s="3"/>
      <c r="AE70" s="3"/>
      <c r="AF70" s="3"/>
      <c r="AG70" s="11"/>
    </row>
    <row r="71" spans="9:33" x14ac:dyDescent="0.25">
      <c r="I71" s="34">
        <v>22</v>
      </c>
      <c r="J71" s="3">
        <v>22600</v>
      </c>
      <c r="K71" s="3">
        <v>18600</v>
      </c>
      <c r="L71" s="3">
        <v>0</v>
      </c>
      <c r="M71" s="3">
        <v>22600</v>
      </c>
      <c r="N71" s="3">
        <v>18950</v>
      </c>
      <c r="O71" s="3">
        <v>0</v>
      </c>
      <c r="P71" s="35">
        <v>3000</v>
      </c>
      <c r="Q71" s="3"/>
      <c r="R71" s="36">
        <f t="shared" si="9"/>
        <v>350</v>
      </c>
      <c r="S71" s="3">
        <v>605</v>
      </c>
      <c r="T71" s="3">
        <f t="shared" si="10"/>
        <v>0</v>
      </c>
      <c r="U71" s="35">
        <f t="shared" si="11"/>
        <v>350</v>
      </c>
      <c r="V71" s="13"/>
      <c r="W71" s="44">
        <v>2600</v>
      </c>
      <c r="X71" s="3">
        <v>530</v>
      </c>
      <c r="Y71" s="48">
        <v>530</v>
      </c>
      <c r="Z71" s="3">
        <f t="shared" si="15"/>
        <v>530</v>
      </c>
      <c r="AA71" s="3">
        <v>1</v>
      </c>
      <c r="AB71" s="35"/>
      <c r="AC71" s="3"/>
      <c r="AD71" s="3"/>
      <c r="AE71" s="3"/>
      <c r="AF71" s="3"/>
      <c r="AG71" s="11"/>
    </row>
    <row r="72" spans="9:33" x14ac:dyDescent="0.25">
      <c r="I72" s="34">
        <v>23</v>
      </c>
      <c r="J72" s="3">
        <v>22600</v>
      </c>
      <c r="K72" s="3">
        <v>18950</v>
      </c>
      <c r="L72" s="3">
        <v>0</v>
      </c>
      <c r="M72" s="3">
        <v>23850</v>
      </c>
      <c r="N72" s="3">
        <v>18950</v>
      </c>
      <c r="O72" s="3">
        <v>0</v>
      </c>
      <c r="P72" s="35">
        <v>3000</v>
      </c>
      <c r="Q72" s="3"/>
      <c r="R72" s="36">
        <f t="shared" si="9"/>
        <v>1250</v>
      </c>
      <c r="S72" s="3">
        <v>605</v>
      </c>
      <c r="T72" s="3">
        <f t="shared" si="10"/>
        <v>2</v>
      </c>
      <c r="U72" s="35">
        <f t="shared" si="11"/>
        <v>40</v>
      </c>
      <c r="V72" s="13"/>
      <c r="W72" s="44">
        <v>2600</v>
      </c>
      <c r="X72" s="3">
        <v>530</v>
      </c>
      <c r="Y72" s="48">
        <v>530</v>
      </c>
      <c r="Z72" s="3"/>
      <c r="AA72" s="3"/>
      <c r="AB72" s="35">
        <f>SUM(AA70:AA72)</f>
        <v>2</v>
      </c>
      <c r="AC72" s="3"/>
      <c r="AD72" s="3"/>
      <c r="AE72" s="3"/>
      <c r="AF72" s="3"/>
      <c r="AG72" s="11"/>
    </row>
    <row r="73" spans="9:33" x14ac:dyDescent="0.25">
      <c r="I73" s="34">
        <v>24</v>
      </c>
      <c r="J73" s="3">
        <v>16900</v>
      </c>
      <c r="K73" s="3">
        <v>8300</v>
      </c>
      <c r="L73" s="3">
        <v>0</v>
      </c>
      <c r="M73" s="3">
        <v>16900</v>
      </c>
      <c r="N73" s="3">
        <v>9350</v>
      </c>
      <c r="O73" s="3">
        <v>0</v>
      </c>
      <c r="P73" s="35">
        <v>3000</v>
      </c>
      <c r="Q73" s="3"/>
      <c r="R73" s="36">
        <f t="shared" si="9"/>
        <v>1050</v>
      </c>
      <c r="S73" s="3">
        <v>605</v>
      </c>
      <c r="T73" s="3">
        <f t="shared" si="10"/>
        <v>1</v>
      </c>
      <c r="U73" s="35">
        <f t="shared" si="11"/>
        <v>445</v>
      </c>
      <c r="V73" s="13"/>
      <c r="W73" s="45">
        <v>3000</v>
      </c>
      <c r="X73" s="3">
        <v>135</v>
      </c>
      <c r="Y73" s="49">
        <v>40</v>
      </c>
      <c r="Z73" s="3">
        <f>SUM(Y72:Y73)</f>
        <v>570</v>
      </c>
      <c r="AA73" s="3">
        <v>1</v>
      </c>
      <c r="AB73" s="35"/>
      <c r="AC73" s="3"/>
      <c r="AD73" s="3"/>
      <c r="AE73" s="3"/>
      <c r="AF73" s="3"/>
      <c r="AG73" s="11"/>
    </row>
    <row r="74" spans="9:33" x14ac:dyDescent="0.25">
      <c r="I74" s="34">
        <v>25</v>
      </c>
      <c r="J74" s="3">
        <v>16900</v>
      </c>
      <c r="K74" s="3">
        <v>6450</v>
      </c>
      <c r="L74" s="3">
        <v>0</v>
      </c>
      <c r="M74" s="3">
        <v>15850</v>
      </c>
      <c r="N74" s="3">
        <v>6450</v>
      </c>
      <c r="O74" s="3">
        <v>0</v>
      </c>
      <c r="P74" s="35">
        <v>2500</v>
      </c>
      <c r="Q74" s="3"/>
      <c r="R74" s="36">
        <f t="shared" si="9"/>
        <v>1050</v>
      </c>
      <c r="S74" s="3">
        <v>605</v>
      </c>
      <c r="T74" s="3">
        <f t="shared" si="10"/>
        <v>1</v>
      </c>
      <c r="U74" s="35">
        <f t="shared" si="11"/>
        <v>445</v>
      </c>
      <c r="V74" s="13"/>
      <c r="W74" s="45">
        <v>3000</v>
      </c>
      <c r="X74" s="3">
        <v>300</v>
      </c>
      <c r="Y74" s="49">
        <v>135</v>
      </c>
      <c r="Z74" s="3"/>
      <c r="AA74" s="3"/>
      <c r="AB74" s="35"/>
      <c r="AC74" s="3"/>
      <c r="AD74" s="3"/>
      <c r="AE74" s="3"/>
      <c r="AF74" s="3"/>
      <c r="AG74" s="11"/>
    </row>
    <row r="75" spans="9:33" x14ac:dyDescent="0.25">
      <c r="I75" s="34">
        <v>26</v>
      </c>
      <c r="J75" s="3">
        <v>16900</v>
      </c>
      <c r="K75" s="3">
        <v>6700</v>
      </c>
      <c r="L75" s="3">
        <v>0</v>
      </c>
      <c r="M75" s="3">
        <v>16900</v>
      </c>
      <c r="N75" s="3">
        <v>6450</v>
      </c>
      <c r="O75" s="3">
        <v>0</v>
      </c>
      <c r="P75" s="35">
        <v>2500</v>
      </c>
      <c r="Q75" s="3"/>
      <c r="R75" s="36">
        <f t="shared" si="9"/>
        <v>250</v>
      </c>
      <c r="S75" s="3">
        <v>605</v>
      </c>
      <c r="T75" s="3">
        <f t="shared" si="10"/>
        <v>0</v>
      </c>
      <c r="U75" s="35">
        <f t="shared" si="11"/>
        <v>250</v>
      </c>
      <c r="V75" s="13"/>
      <c r="W75" s="45">
        <v>3000</v>
      </c>
      <c r="X75" s="3">
        <v>595</v>
      </c>
      <c r="Y75" s="49">
        <v>135</v>
      </c>
      <c r="Z75" s="3"/>
      <c r="AA75" s="3"/>
      <c r="AB75" s="35"/>
      <c r="AC75" s="3"/>
      <c r="AD75" s="3"/>
      <c r="AE75" s="3"/>
      <c r="AF75" s="3"/>
      <c r="AG75" s="11"/>
    </row>
    <row r="76" spans="9:33" x14ac:dyDescent="0.25">
      <c r="I76" s="34">
        <v>27</v>
      </c>
      <c r="J76" s="3">
        <v>15350</v>
      </c>
      <c r="K76" s="3">
        <v>4200</v>
      </c>
      <c r="L76" s="3">
        <v>0</v>
      </c>
      <c r="M76" s="3">
        <v>15100</v>
      </c>
      <c r="N76" s="3">
        <v>4200</v>
      </c>
      <c r="O76" s="3">
        <v>0</v>
      </c>
      <c r="P76" s="35">
        <v>2500</v>
      </c>
      <c r="Q76" s="3"/>
      <c r="R76" s="36">
        <f t="shared" si="9"/>
        <v>250</v>
      </c>
      <c r="S76" s="3">
        <v>605</v>
      </c>
      <c r="T76" s="3">
        <f t="shared" si="10"/>
        <v>0</v>
      </c>
      <c r="U76" s="35">
        <f t="shared" si="11"/>
        <v>250</v>
      </c>
      <c r="V76" s="13"/>
      <c r="W76" s="45">
        <v>3000</v>
      </c>
      <c r="X76" s="3">
        <v>135</v>
      </c>
      <c r="Y76" s="49">
        <v>135</v>
      </c>
      <c r="Z76" s="3">
        <f>SUM(Y74:Y76)</f>
        <v>405</v>
      </c>
      <c r="AA76" s="3">
        <v>1</v>
      </c>
      <c r="AB76" s="35"/>
      <c r="AC76" s="3"/>
      <c r="AD76" s="3"/>
      <c r="AE76" s="3"/>
      <c r="AF76" s="3"/>
      <c r="AG76" s="11"/>
    </row>
    <row r="77" spans="9:33" x14ac:dyDescent="0.25">
      <c r="I77" s="34">
        <v>28</v>
      </c>
      <c r="J77" s="3">
        <v>15100</v>
      </c>
      <c r="K77" s="3">
        <v>2850</v>
      </c>
      <c r="L77" s="3">
        <v>0</v>
      </c>
      <c r="M77" s="3">
        <v>15350</v>
      </c>
      <c r="N77" s="3">
        <v>2850</v>
      </c>
      <c r="O77" s="3">
        <v>0</v>
      </c>
      <c r="P77" s="35">
        <v>2500</v>
      </c>
      <c r="Q77" s="3"/>
      <c r="R77" s="36">
        <f t="shared" si="9"/>
        <v>250</v>
      </c>
      <c r="S77" s="3">
        <v>605</v>
      </c>
      <c r="T77" s="3">
        <f t="shared" si="10"/>
        <v>0</v>
      </c>
      <c r="U77" s="35">
        <f t="shared" si="11"/>
        <v>250</v>
      </c>
      <c r="V77" s="13"/>
      <c r="W77" s="45">
        <v>3000</v>
      </c>
      <c r="X77" s="3">
        <v>300</v>
      </c>
      <c r="Y77" s="49">
        <v>300</v>
      </c>
      <c r="Z77" s="3"/>
      <c r="AA77" s="3"/>
      <c r="AB77" s="35"/>
      <c r="AC77" s="3"/>
      <c r="AD77" s="3"/>
      <c r="AE77" s="3"/>
      <c r="AF77" s="3"/>
      <c r="AG77" s="11"/>
    </row>
    <row r="78" spans="9:33" x14ac:dyDescent="0.25">
      <c r="I78" s="34">
        <v>29</v>
      </c>
      <c r="J78" s="3">
        <v>20200</v>
      </c>
      <c r="K78" s="3">
        <v>8300</v>
      </c>
      <c r="L78" s="3">
        <v>0</v>
      </c>
      <c r="M78" s="3">
        <v>20200</v>
      </c>
      <c r="N78" s="3">
        <v>9350</v>
      </c>
      <c r="O78" s="3">
        <v>0</v>
      </c>
      <c r="P78" s="35">
        <v>3000</v>
      </c>
      <c r="Q78" s="3"/>
      <c r="R78" s="36">
        <f t="shared" si="9"/>
        <v>1050</v>
      </c>
      <c r="S78" s="3">
        <v>605</v>
      </c>
      <c r="T78" s="3">
        <f t="shared" si="10"/>
        <v>1</v>
      </c>
      <c r="U78" s="35">
        <f t="shared" si="11"/>
        <v>445</v>
      </c>
      <c r="V78" s="13"/>
      <c r="W78" s="45">
        <v>3000</v>
      </c>
      <c r="X78" s="3">
        <v>595</v>
      </c>
      <c r="Y78" s="49">
        <v>300</v>
      </c>
      <c r="Z78" s="3">
        <f>SUM(Y77:Y78)</f>
        <v>600</v>
      </c>
      <c r="AA78" s="3">
        <v>1</v>
      </c>
      <c r="AB78" s="35"/>
      <c r="AC78" s="3"/>
      <c r="AD78" s="3"/>
      <c r="AE78" s="3"/>
      <c r="AF78" s="3"/>
      <c r="AG78" s="11"/>
    </row>
    <row r="79" spans="9:33" x14ac:dyDescent="0.25">
      <c r="I79" s="34">
        <v>30</v>
      </c>
      <c r="J79" s="3">
        <v>21250</v>
      </c>
      <c r="K79" s="3">
        <v>6450</v>
      </c>
      <c r="L79" s="3">
        <v>0</v>
      </c>
      <c r="M79" s="3">
        <v>20200</v>
      </c>
      <c r="N79" s="3">
        <v>6450</v>
      </c>
      <c r="O79" s="3">
        <v>0</v>
      </c>
      <c r="P79" s="35">
        <v>2500</v>
      </c>
      <c r="Q79" s="3"/>
      <c r="R79" s="36">
        <f t="shared" si="9"/>
        <v>1050</v>
      </c>
      <c r="S79" s="3">
        <v>605</v>
      </c>
      <c r="T79" s="3">
        <f t="shared" si="10"/>
        <v>1</v>
      </c>
      <c r="U79" s="35">
        <f t="shared" si="11"/>
        <v>445</v>
      </c>
      <c r="V79" s="13"/>
      <c r="W79" s="45">
        <v>3000</v>
      </c>
      <c r="X79" s="3">
        <v>135</v>
      </c>
      <c r="Y79" s="49">
        <v>350</v>
      </c>
      <c r="Z79" s="3">
        <f t="shared" ref="Z79:Z83" si="18">SUM(Y79)</f>
        <v>350</v>
      </c>
      <c r="AA79" s="3">
        <v>1</v>
      </c>
      <c r="AB79" s="35"/>
      <c r="AC79" s="3"/>
      <c r="AD79" s="3"/>
      <c r="AE79" s="3"/>
      <c r="AF79" s="3"/>
      <c r="AG79" s="11"/>
    </row>
    <row r="80" spans="9:33" x14ac:dyDescent="0.25">
      <c r="I80" s="34">
        <v>31</v>
      </c>
      <c r="J80" s="3">
        <v>20200</v>
      </c>
      <c r="K80" s="3">
        <v>6450</v>
      </c>
      <c r="L80" s="3">
        <v>0</v>
      </c>
      <c r="M80" s="3">
        <v>20200</v>
      </c>
      <c r="N80" s="3">
        <v>6700</v>
      </c>
      <c r="O80" s="3">
        <v>0</v>
      </c>
      <c r="P80" s="35">
        <v>2500</v>
      </c>
      <c r="Q80" s="3"/>
      <c r="R80" s="36">
        <f t="shared" si="9"/>
        <v>250</v>
      </c>
      <c r="S80" s="3">
        <v>605</v>
      </c>
      <c r="T80" s="3">
        <f t="shared" si="10"/>
        <v>0</v>
      </c>
      <c r="U80" s="35">
        <f t="shared" si="11"/>
        <v>250</v>
      </c>
      <c r="V80" s="13"/>
      <c r="W80" s="45">
        <v>3000</v>
      </c>
      <c r="X80" s="3">
        <v>350</v>
      </c>
      <c r="Y80" s="49">
        <v>445</v>
      </c>
      <c r="Z80" s="3">
        <f t="shared" si="18"/>
        <v>445</v>
      </c>
      <c r="AA80" s="3">
        <v>1</v>
      </c>
      <c r="AB80" s="35"/>
      <c r="AC80" s="3"/>
      <c r="AD80" s="3"/>
      <c r="AE80" s="3"/>
      <c r="AF80" s="3"/>
      <c r="AG80" s="11"/>
    </row>
    <row r="81" spans="9:34" x14ac:dyDescent="0.25">
      <c r="I81" s="34">
        <v>32</v>
      </c>
      <c r="J81" s="3">
        <v>22000</v>
      </c>
      <c r="K81" s="3">
        <v>4200</v>
      </c>
      <c r="L81" s="3">
        <v>0</v>
      </c>
      <c r="M81" s="3">
        <v>21750</v>
      </c>
      <c r="N81" s="3">
        <v>4200</v>
      </c>
      <c r="O81" s="3">
        <v>0</v>
      </c>
      <c r="P81" s="35">
        <v>2500</v>
      </c>
      <c r="Q81" s="3"/>
      <c r="R81" s="36">
        <f t="shared" si="9"/>
        <v>250</v>
      </c>
      <c r="S81" s="3">
        <v>605</v>
      </c>
      <c r="T81" s="3">
        <f t="shared" si="10"/>
        <v>0</v>
      </c>
      <c r="U81" s="35">
        <f t="shared" si="11"/>
        <v>250</v>
      </c>
      <c r="V81" s="13"/>
      <c r="W81" s="45">
        <v>3000</v>
      </c>
      <c r="X81" s="3">
        <v>40</v>
      </c>
      <c r="Y81" s="49">
        <v>445</v>
      </c>
      <c r="Z81" s="3">
        <f t="shared" si="18"/>
        <v>445</v>
      </c>
      <c r="AA81" s="3">
        <v>1</v>
      </c>
      <c r="AB81" s="35"/>
      <c r="AC81" s="3"/>
      <c r="AD81" s="3"/>
      <c r="AE81" s="3"/>
      <c r="AF81" s="3"/>
      <c r="AG81" s="11"/>
    </row>
    <row r="82" spans="9:34" x14ac:dyDescent="0.25">
      <c r="I82" s="34">
        <v>33</v>
      </c>
      <c r="J82" s="3">
        <v>21750</v>
      </c>
      <c r="K82" s="3">
        <v>2850</v>
      </c>
      <c r="L82" s="3">
        <v>0</v>
      </c>
      <c r="M82" s="3">
        <v>22000</v>
      </c>
      <c r="N82" s="3">
        <v>2850</v>
      </c>
      <c r="O82" s="3">
        <v>0</v>
      </c>
      <c r="P82" s="35">
        <v>2500</v>
      </c>
      <c r="Q82" s="3"/>
      <c r="R82" s="36">
        <f t="shared" si="9"/>
        <v>250</v>
      </c>
      <c r="S82" s="3">
        <v>605</v>
      </c>
      <c r="T82" s="3">
        <f t="shared" si="10"/>
        <v>0</v>
      </c>
      <c r="U82" s="35">
        <f t="shared" si="11"/>
        <v>250</v>
      </c>
      <c r="V82" s="13"/>
      <c r="W82" s="45">
        <v>3000</v>
      </c>
      <c r="X82" s="3">
        <v>445</v>
      </c>
      <c r="Y82" s="49">
        <v>595</v>
      </c>
      <c r="Z82" s="3">
        <f t="shared" si="18"/>
        <v>595</v>
      </c>
      <c r="AA82" s="3">
        <v>1</v>
      </c>
      <c r="AB82" s="35"/>
      <c r="AC82" s="3"/>
      <c r="AD82" s="3"/>
      <c r="AE82" s="3"/>
      <c r="AF82" s="3"/>
      <c r="AG82" s="11"/>
    </row>
    <row r="83" spans="9:34" x14ac:dyDescent="0.25">
      <c r="I83" s="54">
        <v>34</v>
      </c>
      <c r="J83" s="38">
        <v>32150</v>
      </c>
      <c r="K83" s="38">
        <v>20224</v>
      </c>
      <c r="L83" s="38">
        <v>0</v>
      </c>
      <c r="M83" s="38">
        <v>30700</v>
      </c>
      <c r="N83" s="38">
        <v>20224</v>
      </c>
      <c r="O83" s="38">
        <v>0</v>
      </c>
      <c r="P83" s="39">
        <v>2500</v>
      </c>
      <c r="Q83" s="3"/>
      <c r="R83" s="37">
        <f t="shared" si="9"/>
        <v>1450</v>
      </c>
      <c r="S83" s="38">
        <v>605</v>
      </c>
      <c r="T83" s="38">
        <f t="shared" si="10"/>
        <v>2</v>
      </c>
      <c r="U83" s="39">
        <f t="shared" si="11"/>
        <v>240</v>
      </c>
      <c r="V83" s="13"/>
      <c r="W83" s="46">
        <v>3000</v>
      </c>
      <c r="X83" s="38">
        <v>445</v>
      </c>
      <c r="Y83" s="50">
        <v>595</v>
      </c>
      <c r="Z83" s="38">
        <f t="shared" si="18"/>
        <v>595</v>
      </c>
      <c r="AA83" s="38">
        <v>1</v>
      </c>
      <c r="AB83" s="39">
        <f>SUM(AA73:AA83)</f>
        <v>8</v>
      </c>
      <c r="AC83" s="3"/>
      <c r="AD83" s="3"/>
      <c r="AE83" s="3"/>
      <c r="AF83" s="3"/>
      <c r="AG83" s="11"/>
    </row>
    <row r="84" spans="9:34" x14ac:dyDescent="0.25"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11"/>
    </row>
  </sheetData>
  <sortState xmlns:xlrd2="http://schemas.microsoft.com/office/spreadsheetml/2017/richdata2" ref="Z25:Z35">
    <sortCondition ref="Z25:Z35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Baseline_ALC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Lufeng Wang</dc:creator>
  <cp:lastModifiedBy>Lufeng Wang</cp:lastModifiedBy>
  <dcterms:created xsi:type="dcterms:W3CDTF">2024-04-15T06:40:00Z</dcterms:created>
  <dcterms:modified xsi:type="dcterms:W3CDTF">2024-09-11T07:32:25Z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5B3B037E95024C15883102B525A8EA27_12</vt:lpwstr>
  </property>
  <property fmtid="{D5CDD505-2E9C-101B-9397-08002B2CF9AE}" pid="3" name="KSOProductBuildVer">
    <vt:lpwstr>2052-12.1.0.17857</vt:lpwstr>
  </property>
</Properties>
</file>