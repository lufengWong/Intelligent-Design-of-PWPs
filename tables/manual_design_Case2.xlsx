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BaiduSyncdisk\pep-8-ALC\Dynamo+Revit -返修1\人工设计\"/>
    </mc:Choice>
  </mc:AlternateContent>
  <xr:revisionPtr revIDLastSave="0" documentId="13_ncr:1_{96D20A41-2AA0-4660-8BDC-3D6CA0163DE5}" xr6:coauthVersionLast="47" xr6:coauthVersionMax="47" xr10:uidLastSave="{00000000-0000-0000-0000-000000000000}"/>
  <bookViews>
    <workbookView xWindow="-108" yWindow="-108" windowWidth="23256" windowHeight="12456" tabRatio="311" activeTab="1" xr2:uid="{C8B4EC58-B768-4DBB-B9BD-CF2A379A629B}"/>
  </bookViews>
  <sheets>
    <sheet name="Baseline_ALC" sheetId="11" r:id="rId1"/>
    <sheet name="Sheet1" sheetId="1" r:id="rId2"/>
  </sheets>
  <definedNames>
    <definedName name="_xlnm._FilterDatabase" localSheetId="1" hidden="1">Sheet1!$Y$75:$Y$81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31" i="1" l="1"/>
  <c r="Z131" i="1"/>
  <c r="R131" i="1"/>
  <c r="T131" i="1" s="1"/>
  <c r="Z130" i="1"/>
  <c r="U130" i="1"/>
  <c r="R130" i="1"/>
  <c r="T130" i="1" s="1"/>
  <c r="Z129" i="1"/>
  <c r="R129" i="1"/>
  <c r="U129" i="1" s="1"/>
  <c r="Z128" i="1"/>
  <c r="R128" i="1"/>
  <c r="U128" i="1" s="1"/>
  <c r="Z127" i="1"/>
  <c r="U127" i="1"/>
  <c r="T127" i="1"/>
  <c r="R127" i="1"/>
  <c r="Z126" i="1"/>
  <c r="R126" i="1"/>
  <c r="T126" i="1" s="1"/>
  <c r="U125" i="1"/>
  <c r="T125" i="1"/>
  <c r="R125" i="1"/>
  <c r="Z124" i="1"/>
  <c r="R124" i="1"/>
  <c r="U124" i="1" s="1"/>
  <c r="R123" i="1"/>
  <c r="T123" i="1" s="1"/>
  <c r="R122" i="1"/>
  <c r="U122" i="1" s="1"/>
  <c r="AB121" i="1"/>
  <c r="Z121" i="1"/>
  <c r="R121" i="1"/>
  <c r="U121" i="1" s="1"/>
  <c r="Z120" i="1"/>
  <c r="R120" i="1"/>
  <c r="T120" i="1" s="1"/>
  <c r="U119" i="1"/>
  <c r="T119" i="1"/>
  <c r="R119" i="1"/>
  <c r="R118" i="1"/>
  <c r="U118" i="1" s="1"/>
  <c r="R117" i="1"/>
  <c r="U117" i="1" s="1"/>
  <c r="U116" i="1"/>
  <c r="R116" i="1"/>
  <c r="T116" i="1" s="1"/>
  <c r="AG115" i="1"/>
  <c r="AG117" i="1" s="1"/>
  <c r="AF115" i="1"/>
  <c r="AF117" i="1" s="1"/>
  <c r="AE115" i="1"/>
  <c r="AE117" i="1" s="1"/>
  <c r="U115" i="1"/>
  <c r="T115" i="1"/>
  <c r="R115" i="1"/>
  <c r="AB114" i="1"/>
  <c r="Z114" i="1"/>
  <c r="R114" i="1"/>
  <c r="U114" i="1" s="1"/>
  <c r="Z113" i="1"/>
  <c r="R113" i="1"/>
  <c r="T113" i="1" s="1"/>
  <c r="Z112" i="1"/>
  <c r="U112" i="1"/>
  <c r="T112" i="1"/>
  <c r="R112" i="1"/>
  <c r="Z111" i="1"/>
  <c r="R111" i="1"/>
  <c r="U111" i="1" s="1"/>
  <c r="Z110" i="1"/>
  <c r="U110" i="1"/>
  <c r="R110" i="1"/>
  <c r="T110" i="1" s="1"/>
  <c r="Z109" i="1"/>
  <c r="R109" i="1"/>
  <c r="U109" i="1" s="1"/>
  <c r="Z108" i="1"/>
  <c r="R108" i="1"/>
  <c r="U108" i="1" s="1"/>
  <c r="R107" i="1"/>
  <c r="U107" i="1" s="1"/>
  <c r="Z106" i="1"/>
  <c r="R106" i="1"/>
  <c r="U106" i="1" s="1"/>
  <c r="R105" i="1"/>
  <c r="U105" i="1" s="1"/>
  <c r="Z104" i="1"/>
  <c r="U104" i="1"/>
  <c r="R104" i="1"/>
  <c r="T104" i="1" s="1"/>
  <c r="R103" i="1"/>
  <c r="U103" i="1" s="1"/>
  <c r="R102" i="1"/>
  <c r="U102" i="1" s="1"/>
  <c r="Z101" i="1"/>
  <c r="U101" i="1"/>
  <c r="T101" i="1"/>
  <c r="R101" i="1"/>
  <c r="R100" i="1"/>
  <c r="U100" i="1" s="1"/>
  <c r="R99" i="1"/>
  <c r="U99" i="1" s="1"/>
  <c r="T92" i="1"/>
  <c r="AG77" i="1"/>
  <c r="AG75" i="1"/>
  <c r="AB91" i="1"/>
  <c r="R92" i="1"/>
  <c r="U92" i="1"/>
  <c r="W92" i="1"/>
  <c r="X92" i="1"/>
  <c r="Y92" i="1"/>
  <c r="P92" i="1"/>
  <c r="AF77" i="1"/>
  <c r="AE77" i="1"/>
  <c r="AF75" i="1"/>
  <c r="AE75" i="1"/>
  <c r="T65" i="1"/>
  <c r="T66" i="1"/>
  <c r="T67" i="1"/>
  <c r="T68" i="1"/>
  <c r="T74" i="1"/>
  <c r="T75" i="1"/>
  <c r="T76" i="1"/>
  <c r="T77" i="1"/>
  <c r="T78" i="1"/>
  <c r="T82" i="1"/>
  <c r="T83" i="1"/>
  <c r="T88" i="1"/>
  <c r="AB81" i="1"/>
  <c r="AB74" i="1"/>
  <c r="Z87" i="1"/>
  <c r="Z86" i="1"/>
  <c r="Z84" i="1"/>
  <c r="Z81" i="1"/>
  <c r="Z80" i="1"/>
  <c r="Z72" i="1"/>
  <c r="Z71" i="1"/>
  <c r="Z70" i="1"/>
  <c r="Z69" i="1"/>
  <c r="Z91" i="1"/>
  <c r="R91" i="1"/>
  <c r="T91" i="1" s="1"/>
  <c r="Z90" i="1"/>
  <c r="R90" i="1"/>
  <c r="U90" i="1" s="1"/>
  <c r="Z89" i="1"/>
  <c r="R89" i="1"/>
  <c r="U89" i="1" s="1"/>
  <c r="Z88" i="1"/>
  <c r="R88" i="1"/>
  <c r="U88" i="1" s="1"/>
  <c r="R87" i="1"/>
  <c r="U87" i="1" s="1"/>
  <c r="R86" i="1"/>
  <c r="T86" i="1" s="1"/>
  <c r="R85" i="1"/>
  <c r="T85" i="1" s="1"/>
  <c r="R84" i="1"/>
  <c r="T84" i="1" s="1"/>
  <c r="R83" i="1"/>
  <c r="U83" i="1" s="1"/>
  <c r="R82" i="1"/>
  <c r="R81" i="1"/>
  <c r="U81" i="1" s="1"/>
  <c r="R80" i="1"/>
  <c r="U80" i="1" s="1"/>
  <c r="R79" i="1"/>
  <c r="T79" i="1" s="1"/>
  <c r="R78" i="1"/>
  <c r="U78" i="1" s="1"/>
  <c r="R77" i="1"/>
  <c r="U77" i="1" s="1"/>
  <c r="R76" i="1"/>
  <c r="U76" i="1" s="1"/>
  <c r="R75" i="1"/>
  <c r="U75" i="1" s="1"/>
  <c r="Z74" i="1"/>
  <c r="R74" i="1"/>
  <c r="Z73" i="1"/>
  <c r="R73" i="1"/>
  <c r="U73" i="1" s="1"/>
  <c r="R72" i="1"/>
  <c r="T72" i="1" s="1"/>
  <c r="R71" i="1"/>
  <c r="U71" i="1" s="1"/>
  <c r="R70" i="1"/>
  <c r="U70" i="1" s="1"/>
  <c r="R69" i="1"/>
  <c r="U69" i="1" s="1"/>
  <c r="Z68" i="1"/>
  <c r="R68" i="1"/>
  <c r="U68" i="1" s="1"/>
  <c r="R67" i="1"/>
  <c r="U67" i="1" s="1"/>
  <c r="Z66" i="1"/>
  <c r="R66" i="1"/>
  <c r="U66" i="1" s="1"/>
  <c r="R65" i="1"/>
  <c r="Z64" i="1"/>
  <c r="R64" i="1"/>
  <c r="T64" i="1" s="1"/>
  <c r="R63" i="1"/>
  <c r="U63" i="1" s="1"/>
  <c r="R62" i="1"/>
  <c r="U62" i="1" s="1"/>
  <c r="Z61" i="1"/>
  <c r="Z92" i="1" s="1"/>
  <c r="R61" i="1"/>
  <c r="U61" i="1" s="1"/>
  <c r="R60" i="1"/>
  <c r="U60" i="1" s="1"/>
  <c r="R59" i="1"/>
  <c r="U59" i="1" s="1"/>
  <c r="T99" i="1" l="1"/>
  <c r="U120" i="1"/>
  <c r="T107" i="1"/>
  <c r="T117" i="1"/>
  <c r="T102" i="1"/>
  <c r="T108" i="1"/>
  <c r="T128" i="1"/>
  <c r="U113" i="1"/>
  <c r="T103" i="1"/>
  <c r="U123" i="1"/>
  <c r="T109" i="1"/>
  <c r="T114" i="1"/>
  <c r="T118" i="1"/>
  <c r="T129" i="1"/>
  <c r="T124" i="1"/>
  <c r="T105" i="1"/>
  <c r="T122" i="1"/>
  <c r="U126" i="1"/>
  <c r="U131" i="1"/>
  <c r="T111" i="1"/>
  <c r="T100" i="1"/>
  <c r="T106" i="1"/>
  <c r="T121" i="1"/>
  <c r="T73" i="1"/>
  <c r="T90" i="1"/>
  <c r="T70" i="1"/>
  <c r="T71" i="1"/>
  <c r="T89" i="1"/>
  <c r="T69" i="1"/>
  <c r="T62" i="1"/>
  <c r="T81" i="1"/>
  <c r="T61" i="1"/>
  <c r="T80" i="1"/>
  <c r="T60" i="1"/>
  <c r="T87" i="1"/>
  <c r="T63" i="1"/>
  <c r="T59" i="1"/>
  <c r="U91" i="1"/>
  <c r="U82" i="1"/>
  <c r="U86" i="1"/>
  <c r="U74" i="1"/>
  <c r="U72" i="1"/>
  <c r="U79" i="1"/>
  <c r="U64" i="1"/>
  <c r="U85" i="1"/>
  <c r="U65" i="1"/>
  <c r="U84" i="1"/>
</calcChain>
</file>

<file path=xl/sharedStrings.xml><?xml version="1.0" encoding="utf-8"?>
<sst xmlns="http://schemas.openxmlformats.org/spreadsheetml/2006/main" count="55" uniqueCount="24">
  <si>
    <t>StartX</t>
  </si>
  <si>
    <t>StartY</t>
  </si>
  <si>
    <t>StartZ</t>
  </si>
  <si>
    <t>EndX</t>
  </si>
  <si>
    <t>EndY</t>
  </si>
  <si>
    <t>EndZ</t>
  </si>
  <si>
    <t>Height</t>
  </si>
  <si>
    <t>Length</t>
  </si>
  <si>
    <t>SortedHeight</t>
  </si>
  <si>
    <t>SegSum</t>
  </si>
  <si>
    <r>
      <t>W</t>
    </r>
    <r>
      <rPr>
        <vertAlign val="subscript"/>
        <sz val="11"/>
        <color theme="1"/>
        <rFont val="Times New Roman"/>
        <family val="1"/>
      </rPr>
      <t>StdPnl</t>
    </r>
  </si>
  <si>
    <r>
      <t>n</t>
    </r>
    <r>
      <rPr>
        <i/>
        <vertAlign val="subscript"/>
        <sz val="11"/>
        <color theme="1"/>
        <rFont val="Times New Roman"/>
        <family val="1"/>
      </rPr>
      <t>StdPnl</t>
    </r>
  </si>
  <si>
    <r>
      <t>Len</t>
    </r>
    <r>
      <rPr>
        <i/>
        <vertAlign val="subscript"/>
        <sz val="11"/>
        <color theme="1"/>
        <rFont val="Times New Roman"/>
        <family val="1"/>
      </rPr>
      <t>spare</t>
    </r>
  </si>
  <si>
    <t>SortedSegFollow</t>
    <phoneticPr fontId="7" type="noConversion"/>
  </si>
  <si>
    <t>SortedSeg</t>
    <phoneticPr fontId="7" type="noConversion"/>
  </si>
  <si>
    <t>SumStd</t>
    <phoneticPr fontId="7" type="noConversion"/>
  </si>
  <si>
    <t>Items</t>
    <phoneticPr fontId="7" type="noConversion"/>
  </si>
  <si>
    <t>numStd1</t>
    <phoneticPr fontId="7" type="noConversion"/>
  </si>
  <si>
    <t>nunStd2</t>
    <phoneticPr fontId="7" type="noConversion"/>
  </si>
  <si>
    <t>sumAllStd</t>
    <phoneticPr fontId="7" type="noConversion"/>
  </si>
  <si>
    <t>panelAbody</t>
    <phoneticPr fontId="7" type="noConversion"/>
  </si>
  <si>
    <t>numBody</t>
    <phoneticPr fontId="7" type="noConversion"/>
  </si>
  <si>
    <t>NO.</t>
    <phoneticPr fontId="7" type="noConversion"/>
  </si>
  <si>
    <t>NumStd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</si>
</sst>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4264-DCCF-41B5-9D52-2FA4CAFA7CAE}">
  <dimension ref="A1:G34"/>
  <sheetViews>
    <sheetView topLeftCell="A8" workbookViewId="0">
      <selection activeCell="A2" sqref="A2:G34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13350</v>
      </c>
      <c r="B2">
        <v>3750</v>
      </c>
      <c r="C2">
        <v>0</v>
      </c>
      <c r="D2">
        <v>16400</v>
      </c>
      <c r="E2">
        <v>3750</v>
      </c>
      <c r="F2">
        <v>0</v>
      </c>
      <c r="G2">
        <v>2600</v>
      </c>
    </row>
    <row r="3" spans="1:7" x14ac:dyDescent="0.25">
      <c r="A3">
        <v>16400</v>
      </c>
      <c r="B3">
        <v>3750</v>
      </c>
      <c r="C3">
        <v>0</v>
      </c>
      <c r="D3">
        <v>16400</v>
      </c>
      <c r="E3">
        <v>5300</v>
      </c>
      <c r="F3">
        <v>0</v>
      </c>
      <c r="G3">
        <v>2500</v>
      </c>
    </row>
    <row r="4" spans="1:7" x14ac:dyDescent="0.25">
      <c r="A4">
        <v>17450</v>
      </c>
      <c r="B4">
        <v>5150</v>
      </c>
      <c r="C4">
        <v>0</v>
      </c>
      <c r="D4">
        <v>18150</v>
      </c>
      <c r="E4">
        <v>5150</v>
      </c>
      <c r="F4">
        <v>0</v>
      </c>
      <c r="G4">
        <v>3000</v>
      </c>
    </row>
    <row r="5" spans="1:7" x14ac:dyDescent="0.25">
      <c r="A5">
        <v>18150</v>
      </c>
      <c r="B5">
        <v>5150</v>
      </c>
      <c r="C5">
        <v>0</v>
      </c>
      <c r="D5">
        <v>18150</v>
      </c>
      <c r="E5">
        <v>2700</v>
      </c>
      <c r="F5">
        <v>0</v>
      </c>
      <c r="G5">
        <v>2500</v>
      </c>
    </row>
    <row r="6" spans="1:7" x14ac:dyDescent="0.25">
      <c r="A6">
        <v>13350</v>
      </c>
      <c r="B6">
        <v>6350</v>
      </c>
      <c r="C6">
        <v>0</v>
      </c>
      <c r="D6">
        <v>16400</v>
      </c>
      <c r="E6">
        <v>6350</v>
      </c>
      <c r="F6">
        <v>0</v>
      </c>
      <c r="G6">
        <v>2600</v>
      </c>
    </row>
    <row r="7" spans="1:7" x14ac:dyDescent="0.25">
      <c r="A7">
        <v>16400</v>
      </c>
      <c r="B7">
        <v>6500</v>
      </c>
      <c r="C7">
        <v>0</v>
      </c>
      <c r="D7">
        <v>16400</v>
      </c>
      <c r="E7">
        <v>6200</v>
      </c>
      <c r="F7">
        <v>0</v>
      </c>
      <c r="G7">
        <v>2500</v>
      </c>
    </row>
    <row r="8" spans="1:7" x14ac:dyDescent="0.25">
      <c r="A8">
        <v>27100</v>
      </c>
      <c r="B8">
        <v>5200</v>
      </c>
      <c r="C8">
        <v>0</v>
      </c>
      <c r="D8">
        <v>27100</v>
      </c>
      <c r="E8">
        <v>3750</v>
      </c>
      <c r="F8">
        <v>0</v>
      </c>
      <c r="G8">
        <v>2500</v>
      </c>
    </row>
    <row r="9" spans="1:7" x14ac:dyDescent="0.25">
      <c r="A9">
        <v>27100</v>
      </c>
      <c r="B9">
        <v>3750</v>
      </c>
      <c r="C9">
        <v>0</v>
      </c>
      <c r="D9">
        <v>30150</v>
      </c>
      <c r="E9">
        <v>3750</v>
      </c>
      <c r="F9">
        <v>0</v>
      </c>
      <c r="G9">
        <v>2600</v>
      </c>
    </row>
    <row r="10" spans="1:7" x14ac:dyDescent="0.25">
      <c r="A10">
        <v>27100</v>
      </c>
      <c r="B10">
        <v>6500</v>
      </c>
      <c r="C10">
        <v>0</v>
      </c>
      <c r="D10">
        <v>27100</v>
      </c>
      <c r="E10">
        <v>6200</v>
      </c>
      <c r="F10">
        <v>0</v>
      </c>
      <c r="G10">
        <v>2500</v>
      </c>
    </row>
    <row r="11" spans="1:7" x14ac:dyDescent="0.25">
      <c r="A11">
        <v>27100</v>
      </c>
      <c r="B11">
        <v>6350</v>
      </c>
      <c r="C11">
        <v>0</v>
      </c>
      <c r="D11">
        <v>30150</v>
      </c>
      <c r="E11">
        <v>6350</v>
      </c>
      <c r="F11">
        <v>0</v>
      </c>
      <c r="G11">
        <v>2600</v>
      </c>
    </row>
    <row r="12" spans="1:7" x14ac:dyDescent="0.25">
      <c r="A12">
        <v>19950</v>
      </c>
      <c r="B12">
        <v>8550</v>
      </c>
      <c r="C12">
        <v>0</v>
      </c>
      <c r="D12">
        <v>18800</v>
      </c>
      <c r="E12">
        <v>8550</v>
      </c>
      <c r="F12">
        <v>0</v>
      </c>
      <c r="G12">
        <v>2500</v>
      </c>
    </row>
    <row r="13" spans="1:7" x14ac:dyDescent="0.25">
      <c r="A13">
        <v>19950</v>
      </c>
      <c r="B13">
        <v>8800</v>
      </c>
      <c r="C13">
        <v>0</v>
      </c>
      <c r="D13">
        <v>19950</v>
      </c>
      <c r="E13">
        <v>8550</v>
      </c>
      <c r="F13">
        <v>0</v>
      </c>
      <c r="G13">
        <v>2500</v>
      </c>
    </row>
    <row r="14" spans="1:7" x14ac:dyDescent="0.25">
      <c r="A14">
        <v>23550</v>
      </c>
      <c r="B14">
        <v>8800</v>
      </c>
      <c r="C14">
        <v>0</v>
      </c>
      <c r="D14">
        <v>23550</v>
      </c>
      <c r="E14">
        <v>8550</v>
      </c>
      <c r="F14">
        <v>0</v>
      </c>
      <c r="G14">
        <v>2500</v>
      </c>
    </row>
    <row r="15" spans="1:7" x14ac:dyDescent="0.25">
      <c r="A15">
        <v>23550</v>
      </c>
      <c r="B15">
        <v>8550</v>
      </c>
      <c r="C15">
        <v>0</v>
      </c>
      <c r="D15">
        <v>24700</v>
      </c>
      <c r="E15">
        <v>8550</v>
      </c>
      <c r="F15">
        <v>0</v>
      </c>
      <c r="G15">
        <v>2500</v>
      </c>
    </row>
    <row r="16" spans="1:7" x14ac:dyDescent="0.25">
      <c r="A16">
        <v>19950</v>
      </c>
      <c r="B16">
        <v>11450</v>
      </c>
      <c r="C16">
        <v>0</v>
      </c>
      <c r="D16">
        <v>19950</v>
      </c>
      <c r="E16">
        <v>10400</v>
      </c>
      <c r="F16">
        <v>0</v>
      </c>
      <c r="G16">
        <v>3000</v>
      </c>
    </row>
    <row r="17" spans="1:7" x14ac:dyDescent="0.25">
      <c r="A17">
        <v>23550</v>
      </c>
      <c r="B17">
        <v>11450</v>
      </c>
      <c r="C17">
        <v>0</v>
      </c>
      <c r="D17">
        <v>23550</v>
      </c>
      <c r="E17">
        <v>10400</v>
      </c>
      <c r="F17">
        <v>0</v>
      </c>
      <c r="G17">
        <v>3000</v>
      </c>
    </row>
    <row r="18" spans="1:7" x14ac:dyDescent="0.25">
      <c r="A18">
        <v>3700</v>
      </c>
      <c r="B18">
        <v>20400</v>
      </c>
      <c r="C18">
        <v>0</v>
      </c>
      <c r="D18">
        <v>4100</v>
      </c>
      <c r="E18">
        <v>20400</v>
      </c>
      <c r="F18">
        <v>0</v>
      </c>
      <c r="G18">
        <v>2600</v>
      </c>
    </row>
    <row r="19" spans="1:7" x14ac:dyDescent="0.25">
      <c r="A19">
        <v>5000</v>
      </c>
      <c r="B19">
        <v>20400</v>
      </c>
      <c r="C19">
        <v>0</v>
      </c>
      <c r="D19">
        <v>7100</v>
      </c>
      <c r="E19">
        <v>20400</v>
      </c>
      <c r="F19">
        <v>0</v>
      </c>
      <c r="G19">
        <v>3000</v>
      </c>
    </row>
    <row r="20" spans="1:7" x14ac:dyDescent="0.25">
      <c r="A20">
        <v>27950</v>
      </c>
      <c r="B20">
        <v>21700</v>
      </c>
      <c r="C20">
        <v>0</v>
      </c>
      <c r="D20">
        <v>27950</v>
      </c>
      <c r="E20">
        <v>25050</v>
      </c>
      <c r="F20">
        <v>0</v>
      </c>
      <c r="G20">
        <v>2500</v>
      </c>
    </row>
    <row r="21" spans="1:7" x14ac:dyDescent="0.25">
      <c r="A21">
        <v>29050</v>
      </c>
      <c r="B21">
        <v>20350</v>
      </c>
      <c r="C21">
        <v>0</v>
      </c>
      <c r="D21">
        <v>29050</v>
      </c>
      <c r="E21">
        <v>19950</v>
      </c>
      <c r="F21">
        <v>0</v>
      </c>
      <c r="G21">
        <v>3000</v>
      </c>
    </row>
    <row r="22" spans="1:7" x14ac:dyDescent="0.25">
      <c r="A22">
        <v>29050</v>
      </c>
      <c r="B22">
        <v>19750</v>
      </c>
      <c r="C22">
        <v>0</v>
      </c>
      <c r="D22">
        <v>29050</v>
      </c>
      <c r="E22">
        <v>19250</v>
      </c>
      <c r="F22">
        <v>0</v>
      </c>
      <c r="G22">
        <v>2500</v>
      </c>
    </row>
    <row r="23" spans="1:7" x14ac:dyDescent="0.25">
      <c r="A23">
        <v>29050</v>
      </c>
      <c r="B23">
        <v>17650</v>
      </c>
      <c r="C23">
        <v>0</v>
      </c>
      <c r="D23">
        <v>29050</v>
      </c>
      <c r="E23">
        <v>16950</v>
      </c>
      <c r="F23">
        <v>0</v>
      </c>
      <c r="G23">
        <v>2500</v>
      </c>
    </row>
    <row r="24" spans="1:7" x14ac:dyDescent="0.25">
      <c r="A24">
        <v>34100</v>
      </c>
      <c r="B24">
        <v>22850</v>
      </c>
      <c r="C24">
        <v>0</v>
      </c>
      <c r="D24">
        <v>34100</v>
      </c>
      <c r="E24">
        <v>21500</v>
      </c>
      <c r="F24">
        <v>0</v>
      </c>
      <c r="G24">
        <v>2600</v>
      </c>
    </row>
    <row r="25" spans="1:7" x14ac:dyDescent="0.25">
      <c r="A25">
        <v>33500</v>
      </c>
      <c r="B25">
        <v>20300</v>
      </c>
      <c r="C25">
        <v>0</v>
      </c>
      <c r="D25">
        <v>35800</v>
      </c>
      <c r="E25">
        <v>20300</v>
      </c>
      <c r="F25">
        <v>0</v>
      </c>
      <c r="G25">
        <v>3000</v>
      </c>
    </row>
    <row r="26" spans="1:7" x14ac:dyDescent="0.25">
      <c r="A26">
        <v>36900</v>
      </c>
      <c r="B26">
        <v>20300</v>
      </c>
      <c r="C26">
        <v>0</v>
      </c>
      <c r="D26">
        <v>36700</v>
      </c>
      <c r="E26">
        <v>20300</v>
      </c>
      <c r="F26">
        <v>0</v>
      </c>
      <c r="G26">
        <v>3000</v>
      </c>
    </row>
    <row r="27" spans="1:7" x14ac:dyDescent="0.25">
      <c r="A27">
        <v>36900</v>
      </c>
      <c r="B27">
        <v>20300</v>
      </c>
      <c r="C27">
        <v>0</v>
      </c>
      <c r="D27">
        <v>36900</v>
      </c>
      <c r="E27">
        <v>23300</v>
      </c>
      <c r="F27">
        <v>0</v>
      </c>
      <c r="G27">
        <v>3000</v>
      </c>
    </row>
    <row r="28" spans="1:7" x14ac:dyDescent="0.25">
      <c r="A28">
        <v>35150</v>
      </c>
      <c r="B28">
        <v>21500</v>
      </c>
      <c r="C28">
        <v>0</v>
      </c>
      <c r="D28">
        <v>36900</v>
      </c>
      <c r="E28">
        <v>21500</v>
      </c>
      <c r="F28">
        <v>0</v>
      </c>
      <c r="G28">
        <v>2400</v>
      </c>
    </row>
    <row r="29" spans="1:7" x14ac:dyDescent="0.25">
      <c r="A29">
        <v>25350</v>
      </c>
      <c r="B29">
        <v>2700</v>
      </c>
      <c r="C29">
        <v>0</v>
      </c>
      <c r="D29">
        <v>25350</v>
      </c>
      <c r="E29">
        <v>5150</v>
      </c>
      <c r="F29">
        <v>0</v>
      </c>
      <c r="G29">
        <v>2500</v>
      </c>
    </row>
    <row r="30" spans="1:7" x14ac:dyDescent="0.25">
      <c r="A30">
        <v>25350</v>
      </c>
      <c r="B30">
        <v>5150</v>
      </c>
      <c r="C30">
        <v>0</v>
      </c>
      <c r="D30">
        <v>26050</v>
      </c>
      <c r="E30">
        <v>5150</v>
      </c>
      <c r="F30">
        <v>0</v>
      </c>
      <c r="G30">
        <v>3000</v>
      </c>
    </row>
    <row r="31" spans="1:7" x14ac:dyDescent="0.25">
      <c r="A31">
        <v>2700</v>
      </c>
      <c r="B31">
        <v>23100</v>
      </c>
      <c r="C31">
        <v>0</v>
      </c>
      <c r="D31">
        <v>2700</v>
      </c>
      <c r="E31">
        <v>20400</v>
      </c>
      <c r="F31">
        <v>0</v>
      </c>
      <c r="G31">
        <v>3000</v>
      </c>
    </row>
    <row r="32" spans="1:7" x14ac:dyDescent="0.25">
      <c r="A32">
        <v>2700</v>
      </c>
      <c r="B32">
        <v>21600</v>
      </c>
      <c r="C32">
        <v>0</v>
      </c>
      <c r="D32">
        <v>4700</v>
      </c>
      <c r="E32">
        <v>21600</v>
      </c>
      <c r="F32">
        <v>0</v>
      </c>
      <c r="G32">
        <v>2500</v>
      </c>
    </row>
    <row r="33" spans="1:7" x14ac:dyDescent="0.25">
      <c r="A33">
        <v>10200</v>
      </c>
      <c r="B33">
        <v>24850</v>
      </c>
      <c r="C33">
        <v>0</v>
      </c>
      <c r="D33">
        <v>10200</v>
      </c>
      <c r="E33">
        <v>21600</v>
      </c>
      <c r="F33">
        <v>0</v>
      </c>
      <c r="G33">
        <v>2600</v>
      </c>
    </row>
    <row r="34" spans="1:7" x14ac:dyDescent="0.25">
      <c r="A34">
        <v>13100</v>
      </c>
      <c r="B34">
        <v>21600</v>
      </c>
      <c r="C34">
        <v>0</v>
      </c>
      <c r="D34">
        <v>8550</v>
      </c>
      <c r="E34">
        <v>21600</v>
      </c>
      <c r="F34">
        <v>0</v>
      </c>
      <c r="G34">
        <v>2500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FC7C-A3A6-44F2-B63A-65C46AC4EF61}">
  <dimension ref="H57:AG131"/>
  <sheetViews>
    <sheetView tabSelected="1" topLeftCell="I93" zoomScale="85" zoomScaleNormal="85" workbookViewId="0">
      <selection activeCell="AD113" sqref="AD113"/>
    </sheetView>
  </sheetViews>
  <sheetFormatPr defaultRowHeight="13.8" x14ac:dyDescent="0.25"/>
  <cols>
    <col min="22" max="22" width="7.88671875" customWidth="1"/>
    <col min="23" max="23" width="14" customWidth="1"/>
    <col min="24" max="24" width="16.21875" customWidth="1"/>
    <col min="25" max="25" width="13.33203125" customWidth="1"/>
    <col min="30" max="30" width="14.21875" customWidth="1"/>
    <col min="31" max="32" width="6.88671875" customWidth="1"/>
    <col min="33" max="33" width="7.5546875" customWidth="1"/>
  </cols>
  <sheetData>
    <row r="57" spans="8:33" x14ac:dyDescent="0.25"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8:33" ht="16.2" x14ac:dyDescent="0.25">
      <c r="H58" s="2"/>
      <c r="I58" s="12" t="s">
        <v>22</v>
      </c>
      <c r="J58" s="12" t="s">
        <v>0</v>
      </c>
      <c r="K58" s="12" t="s">
        <v>1</v>
      </c>
      <c r="L58" s="12" t="s">
        <v>2</v>
      </c>
      <c r="M58" s="12" t="s">
        <v>3</v>
      </c>
      <c r="N58" s="12" t="s">
        <v>4</v>
      </c>
      <c r="O58" s="12" t="s">
        <v>5</v>
      </c>
      <c r="P58" s="12" t="s">
        <v>6</v>
      </c>
      <c r="Q58" s="2"/>
      <c r="R58" s="3" t="s">
        <v>7</v>
      </c>
      <c r="S58" s="4" t="s">
        <v>10</v>
      </c>
      <c r="T58" s="5" t="s">
        <v>11</v>
      </c>
      <c r="U58" s="6" t="s">
        <v>12</v>
      </c>
      <c r="V58" s="2"/>
      <c r="W58" s="7" t="s">
        <v>8</v>
      </c>
      <c r="X58" s="7" t="s">
        <v>13</v>
      </c>
      <c r="Y58" s="8" t="s">
        <v>14</v>
      </c>
      <c r="Z58" s="9" t="s">
        <v>9</v>
      </c>
      <c r="AA58" s="10" t="s">
        <v>23</v>
      </c>
      <c r="AB58" s="11" t="s">
        <v>15</v>
      </c>
      <c r="AC58" s="2"/>
      <c r="AD58" s="2"/>
      <c r="AE58" s="2"/>
      <c r="AF58" s="2"/>
      <c r="AG58" s="2"/>
    </row>
    <row r="59" spans="8:33" x14ac:dyDescent="0.25">
      <c r="H59" s="2"/>
      <c r="I59" s="2">
        <v>1</v>
      </c>
      <c r="J59" s="2">
        <v>13350</v>
      </c>
      <c r="K59" s="2">
        <v>3750</v>
      </c>
      <c r="L59" s="2">
        <v>0</v>
      </c>
      <c r="M59" s="2">
        <v>16400</v>
      </c>
      <c r="N59" s="2">
        <v>3750</v>
      </c>
      <c r="O59" s="2">
        <v>0</v>
      </c>
      <c r="P59" s="2">
        <v>2600</v>
      </c>
      <c r="Q59" s="2"/>
      <c r="R59" s="2">
        <f t="shared" ref="R59:R92" si="0">((J59-M59)^2+(K59-N59)^2)^0.5</f>
        <v>3050</v>
      </c>
      <c r="S59" s="2">
        <v>605</v>
      </c>
      <c r="T59" s="2">
        <f t="shared" ref="T59:T92" si="1">QUOTIENT(R59,S59)</f>
        <v>5</v>
      </c>
      <c r="U59" s="2">
        <f>MOD(R59,S59)</f>
        <v>25</v>
      </c>
      <c r="V59" s="2"/>
      <c r="W59" s="1">
        <v>2400</v>
      </c>
      <c r="X59" s="2">
        <v>540</v>
      </c>
      <c r="Y59" s="1">
        <v>540</v>
      </c>
      <c r="Z59" s="2"/>
      <c r="AA59" s="2"/>
      <c r="AB59" s="2"/>
      <c r="AC59" s="2"/>
      <c r="AD59" s="2"/>
      <c r="AE59" s="2"/>
      <c r="AF59" s="2"/>
      <c r="AG59" s="2"/>
    </row>
    <row r="60" spans="8:33" x14ac:dyDescent="0.25">
      <c r="H60" s="2"/>
      <c r="I60" s="2">
        <v>2</v>
      </c>
      <c r="J60" s="2">
        <v>16400</v>
      </c>
      <c r="K60" s="2">
        <v>3750</v>
      </c>
      <c r="L60" s="2">
        <v>0</v>
      </c>
      <c r="M60" s="2">
        <v>16400</v>
      </c>
      <c r="N60" s="2">
        <v>5300</v>
      </c>
      <c r="O60" s="2">
        <v>0</v>
      </c>
      <c r="P60" s="2">
        <v>2500</v>
      </c>
      <c r="Q60" s="2"/>
      <c r="R60" s="2">
        <f t="shared" si="0"/>
        <v>1550</v>
      </c>
      <c r="S60" s="2">
        <v>605</v>
      </c>
      <c r="T60" s="2">
        <f t="shared" si="1"/>
        <v>2</v>
      </c>
      <c r="U60" s="2">
        <f>MOD(R60,S60)</f>
        <v>340</v>
      </c>
      <c r="V60" s="2"/>
      <c r="W60" s="22">
        <v>2500</v>
      </c>
      <c r="X60" s="2">
        <v>340</v>
      </c>
      <c r="Y60" s="22">
        <v>30</v>
      </c>
      <c r="Z60" s="2"/>
      <c r="AA60" s="2"/>
      <c r="AB60" s="2"/>
      <c r="AC60" s="2"/>
      <c r="AD60" s="2"/>
      <c r="AE60" s="2"/>
      <c r="AF60" s="2"/>
      <c r="AG60" s="2"/>
    </row>
    <row r="61" spans="8:33" x14ac:dyDescent="0.25">
      <c r="H61" s="2"/>
      <c r="I61" s="2">
        <v>3</v>
      </c>
      <c r="J61" s="2">
        <v>17450</v>
      </c>
      <c r="K61" s="2">
        <v>5150</v>
      </c>
      <c r="L61" s="2">
        <v>0</v>
      </c>
      <c r="M61" s="2">
        <v>18150</v>
      </c>
      <c r="N61" s="2">
        <v>5150</v>
      </c>
      <c r="O61" s="2">
        <v>0</v>
      </c>
      <c r="P61" s="2">
        <v>3000</v>
      </c>
      <c r="Q61" s="2"/>
      <c r="R61" s="2">
        <f t="shared" si="0"/>
        <v>700</v>
      </c>
      <c r="S61" s="2">
        <v>605</v>
      </c>
      <c r="T61" s="2">
        <f t="shared" si="1"/>
        <v>1</v>
      </c>
      <c r="U61" s="2">
        <f>MOD(R61,S61)</f>
        <v>95</v>
      </c>
      <c r="V61" s="2"/>
      <c r="W61" s="22">
        <v>2500</v>
      </c>
      <c r="X61" s="2">
        <v>30</v>
      </c>
      <c r="Y61" s="22">
        <v>30</v>
      </c>
      <c r="Z61" s="2">
        <f>SUM(Y59:Y61)</f>
        <v>600</v>
      </c>
      <c r="AA61" s="2">
        <v>1</v>
      </c>
      <c r="AB61" s="2"/>
      <c r="AC61" s="2"/>
      <c r="AD61" s="2"/>
      <c r="AE61" s="2"/>
      <c r="AF61" s="2"/>
      <c r="AG61" s="2"/>
    </row>
    <row r="62" spans="8:33" x14ac:dyDescent="0.25">
      <c r="H62" s="2"/>
      <c r="I62" s="2">
        <v>4</v>
      </c>
      <c r="J62" s="2">
        <v>18150</v>
      </c>
      <c r="K62" s="2">
        <v>5150</v>
      </c>
      <c r="L62" s="2">
        <v>0</v>
      </c>
      <c r="M62" s="2">
        <v>18150</v>
      </c>
      <c r="N62" s="2">
        <v>2700</v>
      </c>
      <c r="O62" s="2">
        <v>0</v>
      </c>
      <c r="P62" s="2">
        <v>2500</v>
      </c>
      <c r="Q62" s="2"/>
      <c r="R62" s="2">
        <f t="shared" si="0"/>
        <v>2450</v>
      </c>
      <c r="S62" s="2">
        <v>605</v>
      </c>
      <c r="T62" s="2">
        <f t="shared" si="1"/>
        <v>4</v>
      </c>
      <c r="U62" s="2">
        <f>MOD(R62,S62)</f>
        <v>30</v>
      </c>
      <c r="V62" s="2"/>
      <c r="W62" s="22">
        <v>2500</v>
      </c>
      <c r="X62" s="2">
        <v>300</v>
      </c>
      <c r="Y62" s="22">
        <v>95</v>
      </c>
      <c r="Z62" s="2"/>
      <c r="AA62" s="23"/>
      <c r="AB62" s="2"/>
      <c r="AC62" s="2"/>
      <c r="AD62" s="2"/>
      <c r="AE62" s="2"/>
      <c r="AF62" s="2"/>
      <c r="AG62" s="2"/>
    </row>
    <row r="63" spans="8:33" x14ac:dyDescent="0.25">
      <c r="H63" s="2"/>
      <c r="I63" s="2">
        <v>5</v>
      </c>
      <c r="J63" s="2">
        <v>13350</v>
      </c>
      <c r="K63" s="2">
        <v>6350</v>
      </c>
      <c r="L63" s="2">
        <v>0</v>
      </c>
      <c r="M63" s="2">
        <v>16400</v>
      </c>
      <c r="N63" s="2">
        <v>6350</v>
      </c>
      <c r="O63" s="2">
        <v>0</v>
      </c>
      <c r="P63" s="2">
        <v>2600</v>
      </c>
      <c r="Q63" s="2"/>
      <c r="R63" s="2">
        <f t="shared" si="0"/>
        <v>3050</v>
      </c>
      <c r="S63" s="2">
        <v>605</v>
      </c>
      <c r="T63" s="2">
        <f t="shared" si="1"/>
        <v>5</v>
      </c>
      <c r="U63" s="2">
        <f>MOD(R63,S63)</f>
        <v>25</v>
      </c>
      <c r="V63" s="2"/>
      <c r="W63" s="22">
        <v>2500</v>
      </c>
      <c r="X63" s="2">
        <v>240</v>
      </c>
      <c r="Y63" s="22">
        <v>185</v>
      </c>
      <c r="Z63" s="2"/>
      <c r="AA63" s="23"/>
      <c r="AB63" s="2"/>
      <c r="AC63" s="2"/>
      <c r="AD63" s="2"/>
      <c r="AE63" s="2"/>
      <c r="AF63" s="2"/>
      <c r="AG63" s="2"/>
    </row>
    <row r="64" spans="8:33" x14ac:dyDescent="0.25">
      <c r="H64" s="2"/>
      <c r="I64" s="2">
        <v>6</v>
      </c>
      <c r="J64" s="2">
        <v>16400</v>
      </c>
      <c r="K64" s="2">
        <v>6500</v>
      </c>
      <c r="L64" s="2">
        <v>0</v>
      </c>
      <c r="M64" s="2">
        <v>16400</v>
      </c>
      <c r="N64" s="2">
        <v>6200</v>
      </c>
      <c r="O64" s="2">
        <v>0</v>
      </c>
      <c r="P64" s="2">
        <v>2500</v>
      </c>
      <c r="Q64" s="2"/>
      <c r="R64" s="2">
        <f t="shared" si="0"/>
        <v>300</v>
      </c>
      <c r="S64" s="2">
        <v>605</v>
      </c>
      <c r="T64" s="2">
        <f t="shared" si="1"/>
        <v>0</v>
      </c>
      <c r="U64" s="2">
        <f>MOD(R64,S64)</f>
        <v>300</v>
      </c>
      <c r="V64" s="2"/>
      <c r="W64" s="22">
        <v>2500</v>
      </c>
      <c r="X64" s="2">
        <v>300</v>
      </c>
      <c r="Y64" s="22">
        <v>240</v>
      </c>
      <c r="Z64" s="2">
        <f>SUM(Y62:Y64)</f>
        <v>520</v>
      </c>
      <c r="AA64" s="23">
        <v>1</v>
      </c>
      <c r="AB64" s="2"/>
      <c r="AC64" s="2"/>
      <c r="AD64" s="2"/>
      <c r="AE64" s="2"/>
      <c r="AF64" s="2"/>
      <c r="AG64" s="2"/>
    </row>
    <row r="65" spans="8:33" x14ac:dyDescent="0.25">
      <c r="H65" s="2"/>
      <c r="I65" s="2">
        <v>7</v>
      </c>
      <c r="J65" s="2">
        <v>27100</v>
      </c>
      <c r="K65" s="2">
        <v>5200</v>
      </c>
      <c r="L65" s="2">
        <v>0</v>
      </c>
      <c r="M65" s="2">
        <v>27100</v>
      </c>
      <c r="N65" s="2">
        <v>3750</v>
      </c>
      <c r="O65" s="2">
        <v>0</v>
      </c>
      <c r="P65" s="2">
        <v>2500</v>
      </c>
      <c r="Q65" s="2"/>
      <c r="R65" s="2">
        <f t="shared" si="0"/>
        <v>1450</v>
      </c>
      <c r="S65" s="2">
        <v>605</v>
      </c>
      <c r="T65" s="2">
        <f t="shared" si="1"/>
        <v>2</v>
      </c>
      <c r="U65" s="2">
        <f>MOD(R65,S65)</f>
        <v>240</v>
      </c>
      <c r="V65" s="2"/>
      <c r="W65" s="22">
        <v>2500</v>
      </c>
      <c r="X65" s="2">
        <v>545</v>
      </c>
      <c r="Y65" s="22">
        <v>250</v>
      </c>
      <c r="Z65" s="2"/>
      <c r="AA65" s="23"/>
      <c r="AB65" s="2"/>
      <c r="AC65" s="2"/>
      <c r="AD65" s="2"/>
      <c r="AE65" s="2"/>
      <c r="AF65" s="2"/>
      <c r="AG65" s="2"/>
    </row>
    <row r="66" spans="8:33" x14ac:dyDescent="0.25">
      <c r="H66" s="2"/>
      <c r="I66" s="2">
        <v>8</v>
      </c>
      <c r="J66" s="2">
        <v>27100</v>
      </c>
      <c r="K66" s="2">
        <v>3750</v>
      </c>
      <c r="L66" s="2">
        <v>0</v>
      </c>
      <c r="M66" s="2">
        <v>30150</v>
      </c>
      <c r="N66" s="2">
        <v>3750</v>
      </c>
      <c r="O66" s="2">
        <v>0</v>
      </c>
      <c r="P66" s="2">
        <v>2600</v>
      </c>
      <c r="Q66" s="2"/>
      <c r="R66" s="2">
        <f t="shared" si="0"/>
        <v>3050</v>
      </c>
      <c r="S66" s="2">
        <v>605</v>
      </c>
      <c r="T66" s="2">
        <f t="shared" si="1"/>
        <v>5</v>
      </c>
      <c r="U66" s="2">
        <f>MOD(R66,S66)</f>
        <v>25</v>
      </c>
      <c r="V66" s="2"/>
      <c r="W66" s="22">
        <v>2500</v>
      </c>
      <c r="X66" s="2">
        <v>250</v>
      </c>
      <c r="Y66" s="22">
        <v>250</v>
      </c>
      <c r="Z66" s="2">
        <f t="shared" ref="Z66" si="2">SUM(Y65:Y66)</f>
        <v>500</v>
      </c>
      <c r="AA66" s="23">
        <v>1</v>
      </c>
      <c r="AB66" s="2"/>
      <c r="AC66" s="2"/>
      <c r="AD66" s="2"/>
      <c r="AE66" s="2"/>
      <c r="AF66" s="2"/>
      <c r="AG66" s="2"/>
    </row>
    <row r="67" spans="8:33" x14ac:dyDescent="0.25">
      <c r="H67" s="2"/>
      <c r="I67" s="2">
        <v>9</v>
      </c>
      <c r="J67" s="2">
        <v>27100</v>
      </c>
      <c r="K67" s="2">
        <v>6500</v>
      </c>
      <c r="L67" s="2">
        <v>0</v>
      </c>
      <c r="M67" s="2">
        <v>27100</v>
      </c>
      <c r="N67" s="2">
        <v>6200</v>
      </c>
      <c r="O67" s="2">
        <v>0</v>
      </c>
      <c r="P67" s="2">
        <v>2500</v>
      </c>
      <c r="Q67" s="2"/>
      <c r="R67" s="2">
        <f t="shared" si="0"/>
        <v>300</v>
      </c>
      <c r="S67" s="2">
        <v>605</v>
      </c>
      <c r="T67" s="2">
        <f t="shared" si="1"/>
        <v>0</v>
      </c>
      <c r="U67" s="2">
        <f>MOD(R67,S67)</f>
        <v>300</v>
      </c>
      <c r="V67" s="2"/>
      <c r="W67" s="22">
        <v>2500</v>
      </c>
      <c r="X67" s="2">
        <v>250</v>
      </c>
      <c r="Y67" s="22">
        <v>300</v>
      </c>
      <c r="Z67" s="2"/>
      <c r="AA67" s="23"/>
      <c r="AB67" s="2"/>
      <c r="AC67" s="2"/>
      <c r="AD67" s="2"/>
      <c r="AE67" s="2"/>
      <c r="AF67" s="2"/>
      <c r="AG67" s="2"/>
    </row>
    <row r="68" spans="8:33" x14ac:dyDescent="0.25">
      <c r="H68" s="2"/>
      <c r="I68" s="2">
        <v>10</v>
      </c>
      <c r="J68" s="2">
        <v>27100</v>
      </c>
      <c r="K68" s="2">
        <v>6350</v>
      </c>
      <c r="L68" s="2">
        <v>0</v>
      </c>
      <c r="M68" s="2">
        <v>30150</v>
      </c>
      <c r="N68" s="2">
        <v>6350</v>
      </c>
      <c r="O68" s="2">
        <v>0</v>
      </c>
      <c r="P68" s="2">
        <v>2600</v>
      </c>
      <c r="Q68" s="2"/>
      <c r="R68" s="2">
        <f t="shared" si="0"/>
        <v>3050</v>
      </c>
      <c r="S68" s="2">
        <v>605</v>
      </c>
      <c r="T68" s="2">
        <f t="shared" si="1"/>
        <v>5</v>
      </c>
      <c r="U68" s="2">
        <f>MOD(R68,S68)</f>
        <v>25</v>
      </c>
      <c r="V68" s="2"/>
      <c r="W68" s="22">
        <v>2500</v>
      </c>
      <c r="X68" s="2">
        <v>545</v>
      </c>
      <c r="Y68" s="22">
        <v>300</v>
      </c>
      <c r="Z68" s="2">
        <f t="shared" ref="Z68" si="3">SUM(Y67:Y68)</f>
        <v>600</v>
      </c>
      <c r="AA68" s="23">
        <v>1</v>
      </c>
      <c r="AB68" s="2"/>
      <c r="AC68" s="2"/>
      <c r="AD68" s="2"/>
      <c r="AE68" s="2"/>
      <c r="AF68" s="2"/>
      <c r="AG68" s="2"/>
    </row>
    <row r="69" spans="8:33" x14ac:dyDescent="0.25">
      <c r="H69" s="2"/>
      <c r="I69" s="2">
        <v>11</v>
      </c>
      <c r="J69" s="2">
        <v>19950</v>
      </c>
      <c r="K69" s="2">
        <v>8550</v>
      </c>
      <c r="L69" s="2">
        <v>0</v>
      </c>
      <c r="M69" s="2">
        <v>18800</v>
      </c>
      <c r="N69" s="2">
        <v>8550</v>
      </c>
      <c r="O69" s="2">
        <v>0</v>
      </c>
      <c r="P69" s="2">
        <v>2500</v>
      </c>
      <c r="Q69" s="2"/>
      <c r="R69" s="2">
        <f t="shared" si="0"/>
        <v>1150</v>
      </c>
      <c r="S69" s="2">
        <v>605</v>
      </c>
      <c r="T69" s="2">
        <f t="shared" si="1"/>
        <v>1</v>
      </c>
      <c r="U69" s="2">
        <f>MOD(R69,S69)</f>
        <v>545</v>
      </c>
      <c r="V69" s="2"/>
      <c r="W69" s="22">
        <v>2500</v>
      </c>
      <c r="X69" s="2">
        <v>325</v>
      </c>
      <c r="Y69" s="22">
        <v>315</v>
      </c>
      <c r="Z69" s="2">
        <f>SUM(Y69)</f>
        <v>315</v>
      </c>
      <c r="AA69" s="23">
        <v>1</v>
      </c>
      <c r="AB69" s="2"/>
      <c r="AC69" s="2"/>
      <c r="AD69" s="2"/>
      <c r="AE69" s="2"/>
      <c r="AF69" s="2"/>
      <c r="AG69" s="2"/>
    </row>
    <row r="70" spans="8:33" x14ac:dyDescent="0.25">
      <c r="H70" s="2"/>
      <c r="I70" s="2">
        <v>12</v>
      </c>
      <c r="J70" s="2">
        <v>19950</v>
      </c>
      <c r="K70" s="2">
        <v>8800</v>
      </c>
      <c r="L70" s="2">
        <v>0</v>
      </c>
      <c r="M70" s="2">
        <v>19950</v>
      </c>
      <c r="N70" s="2">
        <v>8550</v>
      </c>
      <c r="O70" s="2">
        <v>0</v>
      </c>
      <c r="P70" s="2">
        <v>2500</v>
      </c>
      <c r="Q70" s="2"/>
      <c r="R70" s="2">
        <f t="shared" si="0"/>
        <v>250</v>
      </c>
      <c r="S70" s="2">
        <v>605</v>
      </c>
      <c r="T70" s="2">
        <f t="shared" si="1"/>
        <v>0</v>
      </c>
      <c r="U70" s="2">
        <f>MOD(R70,S70)</f>
        <v>250</v>
      </c>
      <c r="V70" s="2"/>
      <c r="W70" s="22">
        <v>2500</v>
      </c>
      <c r="X70" s="2">
        <v>500</v>
      </c>
      <c r="Y70" s="22">
        <v>325</v>
      </c>
      <c r="Z70" s="2">
        <f>SUM(Y70)</f>
        <v>325</v>
      </c>
      <c r="AA70" s="23">
        <v>1</v>
      </c>
      <c r="AB70" s="2"/>
      <c r="AC70" s="2"/>
      <c r="AD70" s="2"/>
      <c r="AE70" s="2"/>
      <c r="AF70" s="2"/>
      <c r="AG70" s="2"/>
    </row>
    <row r="71" spans="8:33" x14ac:dyDescent="0.25">
      <c r="H71" s="2"/>
      <c r="I71" s="2">
        <v>13</v>
      </c>
      <c r="J71" s="2">
        <v>23550</v>
      </c>
      <c r="K71" s="2">
        <v>8800</v>
      </c>
      <c r="L71" s="2">
        <v>0</v>
      </c>
      <c r="M71" s="2">
        <v>23550</v>
      </c>
      <c r="N71" s="2">
        <v>8550</v>
      </c>
      <c r="O71" s="2">
        <v>0</v>
      </c>
      <c r="P71" s="2">
        <v>2500</v>
      </c>
      <c r="Q71" s="2"/>
      <c r="R71" s="2">
        <f t="shared" si="0"/>
        <v>250</v>
      </c>
      <c r="S71" s="2">
        <v>605</v>
      </c>
      <c r="T71" s="2">
        <f t="shared" si="1"/>
        <v>0</v>
      </c>
      <c r="U71" s="2">
        <f>MOD(R71,S71)</f>
        <v>250</v>
      </c>
      <c r="V71" s="2"/>
      <c r="W71" s="22">
        <v>2500</v>
      </c>
      <c r="X71" s="2">
        <v>95</v>
      </c>
      <c r="Y71" s="22">
        <v>340</v>
      </c>
      <c r="Z71" s="2">
        <f>SUM(Y71)</f>
        <v>340</v>
      </c>
      <c r="AA71" s="23">
        <v>1</v>
      </c>
      <c r="AB71" s="2"/>
      <c r="AC71" s="2"/>
      <c r="AD71" s="2"/>
      <c r="AE71" s="2"/>
      <c r="AF71" s="2"/>
      <c r="AG71" s="2"/>
    </row>
    <row r="72" spans="8:33" x14ac:dyDescent="0.25">
      <c r="H72" s="2"/>
      <c r="I72" s="2">
        <v>14</v>
      </c>
      <c r="J72" s="2">
        <v>23550</v>
      </c>
      <c r="K72" s="2">
        <v>8550</v>
      </c>
      <c r="L72" s="2">
        <v>0</v>
      </c>
      <c r="M72" s="2">
        <v>24700</v>
      </c>
      <c r="N72" s="2">
        <v>8550</v>
      </c>
      <c r="O72" s="2">
        <v>0</v>
      </c>
      <c r="P72" s="2">
        <v>2500</v>
      </c>
      <c r="Q72" s="2"/>
      <c r="R72" s="2">
        <f t="shared" si="0"/>
        <v>1150</v>
      </c>
      <c r="S72" s="2">
        <v>605</v>
      </c>
      <c r="T72" s="2">
        <f t="shared" si="1"/>
        <v>1</v>
      </c>
      <c r="U72" s="2">
        <f>MOD(R72,S72)</f>
        <v>545</v>
      </c>
      <c r="V72" s="2"/>
      <c r="W72" s="22">
        <v>2500</v>
      </c>
      <c r="X72" s="2">
        <v>30</v>
      </c>
      <c r="Y72" s="22">
        <v>500</v>
      </c>
      <c r="Z72" s="2">
        <f>SUM(Y72)</f>
        <v>500</v>
      </c>
      <c r="AA72" s="23">
        <v>1</v>
      </c>
      <c r="AB72" s="2"/>
      <c r="AC72" s="2"/>
      <c r="AD72" s="17" t="s">
        <v>16</v>
      </c>
      <c r="AE72" s="18">
        <v>2500</v>
      </c>
      <c r="AF72" s="18">
        <v>2600</v>
      </c>
      <c r="AG72" s="18">
        <v>3000</v>
      </c>
    </row>
    <row r="73" spans="8:33" x14ac:dyDescent="0.25">
      <c r="H73" s="2"/>
      <c r="I73" s="2">
        <v>15</v>
      </c>
      <c r="J73" s="2">
        <v>19950</v>
      </c>
      <c r="K73" s="2">
        <v>11450</v>
      </c>
      <c r="L73" s="2">
        <v>0</v>
      </c>
      <c r="M73" s="2">
        <v>19950</v>
      </c>
      <c r="N73" s="2">
        <v>10400</v>
      </c>
      <c r="O73" s="2">
        <v>0</v>
      </c>
      <c r="P73" s="2">
        <v>3000</v>
      </c>
      <c r="Q73" s="2"/>
      <c r="R73" s="2">
        <f t="shared" si="0"/>
        <v>1050</v>
      </c>
      <c r="S73" s="2">
        <v>605</v>
      </c>
      <c r="T73" s="2">
        <f t="shared" si="1"/>
        <v>1</v>
      </c>
      <c r="U73" s="2">
        <f>MOD(R73,S73)</f>
        <v>445</v>
      </c>
      <c r="V73" s="2"/>
      <c r="W73" s="22">
        <v>2500</v>
      </c>
      <c r="X73" s="2">
        <v>185</v>
      </c>
      <c r="Y73" s="22">
        <v>545</v>
      </c>
      <c r="Z73" s="2">
        <f t="shared" ref="Z73:Z74" si="4">SUM(Y73)</f>
        <v>545</v>
      </c>
      <c r="AA73" s="23">
        <v>1</v>
      </c>
      <c r="AB73" s="2"/>
      <c r="AC73" s="2"/>
      <c r="AD73" s="16" t="s">
        <v>17</v>
      </c>
      <c r="AE73" s="26">
        <v>32</v>
      </c>
      <c r="AF73" s="26">
        <v>27</v>
      </c>
      <c r="AG73" s="14">
        <v>18</v>
      </c>
    </row>
    <row r="74" spans="8:33" x14ac:dyDescent="0.25">
      <c r="H74" s="2"/>
      <c r="I74" s="2">
        <v>16</v>
      </c>
      <c r="J74" s="2">
        <v>23550</v>
      </c>
      <c r="K74" s="2">
        <v>11450</v>
      </c>
      <c r="L74" s="2">
        <v>0</v>
      </c>
      <c r="M74" s="2">
        <v>23550</v>
      </c>
      <c r="N74" s="2">
        <v>10400</v>
      </c>
      <c r="O74" s="2">
        <v>0</v>
      </c>
      <c r="P74" s="2">
        <v>3000</v>
      </c>
      <c r="Q74" s="2"/>
      <c r="R74" s="2">
        <f t="shared" si="0"/>
        <v>1050</v>
      </c>
      <c r="S74" s="2">
        <v>605</v>
      </c>
      <c r="T74" s="2">
        <f t="shared" si="1"/>
        <v>1</v>
      </c>
      <c r="U74" s="2">
        <f>MOD(R74,S74)</f>
        <v>445</v>
      </c>
      <c r="V74" s="2"/>
      <c r="W74" s="22">
        <v>2500</v>
      </c>
      <c r="X74" s="2">
        <v>315</v>
      </c>
      <c r="Y74" s="22">
        <v>545</v>
      </c>
      <c r="Z74" s="2">
        <f t="shared" si="4"/>
        <v>545</v>
      </c>
      <c r="AA74" s="23">
        <v>1</v>
      </c>
      <c r="AB74" s="2">
        <f>SUM(AA59:AA74)</f>
        <v>10</v>
      </c>
      <c r="AC74" s="2"/>
      <c r="AD74" s="16" t="s">
        <v>18</v>
      </c>
      <c r="AE74" s="26">
        <v>10</v>
      </c>
      <c r="AF74" s="26">
        <v>1</v>
      </c>
      <c r="AG74" s="14">
        <v>7</v>
      </c>
    </row>
    <row r="75" spans="8:33" x14ac:dyDescent="0.25">
      <c r="H75" s="2"/>
      <c r="I75" s="2">
        <v>17</v>
      </c>
      <c r="J75" s="2">
        <v>3700</v>
      </c>
      <c r="K75" s="2">
        <v>20400</v>
      </c>
      <c r="L75" s="2">
        <v>0</v>
      </c>
      <c r="M75" s="2">
        <v>4100</v>
      </c>
      <c r="N75" s="2">
        <v>20400</v>
      </c>
      <c r="O75" s="2">
        <v>0</v>
      </c>
      <c r="P75" s="2">
        <v>2600</v>
      </c>
      <c r="Q75" s="2"/>
      <c r="R75" s="2">
        <f t="shared" si="0"/>
        <v>400</v>
      </c>
      <c r="S75" s="2">
        <v>605</v>
      </c>
      <c r="T75" s="2">
        <f t="shared" si="1"/>
        <v>0</v>
      </c>
      <c r="U75" s="2">
        <f>MOD(R75,S75)</f>
        <v>400</v>
      </c>
      <c r="V75" s="2"/>
      <c r="W75" s="24">
        <v>2600</v>
      </c>
      <c r="X75" s="2">
        <v>25</v>
      </c>
      <c r="Y75" s="24">
        <v>25</v>
      </c>
      <c r="Z75" s="2"/>
      <c r="AA75" s="23"/>
      <c r="AB75" s="2"/>
      <c r="AC75" s="2"/>
      <c r="AD75" s="19" t="s">
        <v>19</v>
      </c>
      <c r="AE75" s="26">
        <f>AE73+AE74</f>
        <v>42</v>
      </c>
      <c r="AF75" s="26">
        <f t="shared" ref="AF75:AG75" si="5">AF73+AF74</f>
        <v>28</v>
      </c>
      <c r="AG75" s="14">
        <f t="shared" si="5"/>
        <v>25</v>
      </c>
    </row>
    <row r="76" spans="8:33" x14ac:dyDescent="0.25">
      <c r="H76" s="2"/>
      <c r="I76" s="2">
        <v>18</v>
      </c>
      <c r="J76" s="2">
        <v>5000</v>
      </c>
      <c r="K76" s="2">
        <v>20400</v>
      </c>
      <c r="L76" s="2">
        <v>0</v>
      </c>
      <c r="M76" s="2">
        <v>7100</v>
      </c>
      <c r="N76" s="2">
        <v>20400</v>
      </c>
      <c r="O76" s="2">
        <v>0</v>
      </c>
      <c r="P76" s="2">
        <v>3000</v>
      </c>
      <c r="Q76" s="2"/>
      <c r="R76" s="2">
        <f t="shared" si="0"/>
        <v>2100</v>
      </c>
      <c r="S76" s="2">
        <v>605</v>
      </c>
      <c r="T76" s="2">
        <f t="shared" si="1"/>
        <v>3</v>
      </c>
      <c r="U76" s="2">
        <f>MOD(R76,S76)</f>
        <v>285</v>
      </c>
      <c r="V76" s="2"/>
      <c r="W76" s="24">
        <v>2600</v>
      </c>
      <c r="X76" s="2">
        <v>25</v>
      </c>
      <c r="Y76" s="24">
        <v>25</v>
      </c>
      <c r="Z76" s="2"/>
      <c r="AA76" s="23"/>
      <c r="AB76" s="2"/>
      <c r="AC76" s="2"/>
      <c r="AD76" s="16" t="s">
        <v>20</v>
      </c>
      <c r="AE76" s="26">
        <v>12</v>
      </c>
      <c r="AF76" s="26">
        <v>12</v>
      </c>
      <c r="AG76" s="14">
        <v>12</v>
      </c>
    </row>
    <row r="77" spans="8:33" x14ac:dyDescent="0.25">
      <c r="H77" s="2"/>
      <c r="I77" s="2">
        <v>19</v>
      </c>
      <c r="J77" s="2">
        <v>27950</v>
      </c>
      <c r="K77" s="2">
        <v>21700</v>
      </c>
      <c r="L77" s="2">
        <v>0</v>
      </c>
      <c r="M77" s="2">
        <v>27950</v>
      </c>
      <c r="N77" s="2">
        <v>25050</v>
      </c>
      <c r="O77" s="2">
        <v>0</v>
      </c>
      <c r="P77" s="2">
        <v>2500</v>
      </c>
      <c r="Q77" s="2"/>
      <c r="R77" s="2">
        <f t="shared" si="0"/>
        <v>3350</v>
      </c>
      <c r="S77" s="2">
        <v>605</v>
      </c>
      <c r="T77" s="2">
        <f t="shared" si="1"/>
        <v>5</v>
      </c>
      <c r="U77" s="2">
        <f>MOD(R77,S77)</f>
        <v>325</v>
      </c>
      <c r="V77" s="2"/>
      <c r="W77" s="24">
        <v>2600</v>
      </c>
      <c r="X77" s="2">
        <v>25</v>
      </c>
      <c r="Y77" s="24">
        <v>25</v>
      </c>
      <c r="Z77" s="2"/>
      <c r="AA77" s="23"/>
      <c r="AB77" s="2"/>
      <c r="AC77" s="2"/>
      <c r="AD77" s="20" t="s">
        <v>21</v>
      </c>
      <c r="AE77" s="27">
        <f>ROUNDUP(AE75/AE76,0)</f>
        <v>4</v>
      </c>
      <c r="AF77" s="27">
        <f t="shared" ref="AF77:AG77" si="6">ROUNDUP(AF75/AF76,0)</f>
        <v>3</v>
      </c>
      <c r="AG77" s="28">
        <f t="shared" si="6"/>
        <v>3</v>
      </c>
    </row>
    <row r="78" spans="8:33" x14ac:dyDescent="0.25">
      <c r="H78" s="2"/>
      <c r="I78" s="2">
        <v>20</v>
      </c>
      <c r="J78" s="2">
        <v>29050</v>
      </c>
      <c r="K78" s="2">
        <v>20350</v>
      </c>
      <c r="L78" s="2">
        <v>0</v>
      </c>
      <c r="M78" s="2">
        <v>29050</v>
      </c>
      <c r="N78" s="2">
        <v>19950</v>
      </c>
      <c r="O78" s="2">
        <v>0</v>
      </c>
      <c r="P78" s="2">
        <v>3000</v>
      </c>
      <c r="Q78" s="2"/>
      <c r="R78" s="2">
        <f t="shared" si="0"/>
        <v>400</v>
      </c>
      <c r="S78" s="2">
        <v>605</v>
      </c>
      <c r="T78" s="2">
        <f t="shared" si="1"/>
        <v>0</v>
      </c>
      <c r="U78" s="2">
        <f>MOD(R78,S78)</f>
        <v>400</v>
      </c>
      <c r="V78" s="2"/>
      <c r="W78" s="24">
        <v>2600</v>
      </c>
      <c r="X78" s="2">
        <v>25</v>
      </c>
      <c r="Y78" s="24">
        <v>25</v>
      </c>
      <c r="Z78" s="2"/>
      <c r="AA78" s="23"/>
      <c r="AB78" s="2"/>
      <c r="AC78" s="2"/>
      <c r="AD78" s="2"/>
      <c r="AE78" s="2"/>
      <c r="AF78" s="2"/>
      <c r="AG78" s="2"/>
    </row>
    <row r="79" spans="8:33" x14ac:dyDescent="0.25">
      <c r="H79" s="2"/>
      <c r="I79" s="2">
        <v>21</v>
      </c>
      <c r="J79" s="2">
        <v>29050</v>
      </c>
      <c r="K79" s="2">
        <v>19750</v>
      </c>
      <c r="L79" s="2">
        <v>0</v>
      </c>
      <c r="M79" s="2">
        <v>29050</v>
      </c>
      <c r="N79" s="2">
        <v>19250</v>
      </c>
      <c r="O79" s="2">
        <v>0</v>
      </c>
      <c r="P79" s="2">
        <v>2500</v>
      </c>
      <c r="Q79" s="2"/>
      <c r="R79" s="2">
        <f t="shared" si="0"/>
        <v>500</v>
      </c>
      <c r="S79" s="2">
        <v>605</v>
      </c>
      <c r="T79" s="2">
        <f t="shared" si="1"/>
        <v>0</v>
      </c>
      <c r="U79" s="2">
        <f>MOD(R79,S79)</f>
        <v>500</v>
      </c>
      <c r="V79" s="2"/>
      <c r="W79" s="24">
        <v>2600</v>
      </c>
      <c r="X79" s="2">
        <v>400</v>
      </c>
      <c r="Y79" s="24">
        <v>140</v>
      </c>
      <c r="Z79" s="2"/>
      <c r="AA79" s="23"/>
      <c r="AB79" s="2"/>
      <c r="AC79" s="2"/>
      <c r="AD79" s="2"/>
      <c r="AE79" s="2"/>
      <c r="AF79" s="2"/>
      <c r="AG79" s="2"/>
    </row>
    <row r="80" spans="8:33" x14ac:dyDescent="0.25">
      <c r="H80" s="2"/>
      <c r="I80" s="2">
        <v>22</v>
      </c>
      <c r="J80" s="2">
        <v>29050</v>
      </c>
      <c r="K80" s="2">
        <v>17650</v>
      </c>
      <c r="L80" s="2">
        <v>0</v>
      </c>
      <c r="M80" s="2">
        <v>29050</v>
      </c>
      <c r="N80" s="2">
        <v>16950</v>
      </c>
      <c r="O80" s="2">
        <v>0</v>
      </c>
      <c r="P80" s="2">
        <v>2500</v>
      </c>
      <c r="Q80" s="2"/>
      <c r="R80" s="2">
        <f t="shared" si="0"/>
        <v>700</v>
      </c>
      <c r="S80" s="2">
        <v>605</v>
      </c>
      <c r="T80" s="2">
        <f t="shared" si="1"/>
        <v>1</v>
      </c>
      <c r="U80" s="2">
        <f>MOD(R80,S80)</f>
        <v>95</v>
      </c>
      <c r="V80" s="2"/>
      <c r="W80" s="24">
        <v>2600</v>
      </c>
      <c r="X80" s="2">
        <v>140</v>
      </c>
      <c r="Y80" s="24">
        <v>225</v>
      </c>
      <c r="Z80" s="2">
        <f>SUM(Y75:Y80)</f>
        <v>465</v>
      </c>
      <c r="AA80" s="23">
        <v>1</v>
      </c>
      <c r="AB80" s="2"/>
      <c r="AC80" s="2"/>
      <c r="AD80" s="2"/>
      <c r="AE80" s="2"/>
      <c r="AF80" s="2"/>
      <c r="AG80" s="2"/>
    </row>
    <row r="81" spans="8:33" x14ac:dyDescent="0.25">
      <c r="H81" s="2"/>
      <c r="I81" s="2">
        <v>23</v>
      </c>
      <c r="J81" s="2">
        <v>34100</v>
      </c>
      <c r="K81" s="2">
        <v>22850</v>
      </c>
      <c r="L81" s="2">
        <v>0</v>
      </c>
      <c r="M81" s="2">
        <v>34100</v>
      </c>
      <c r="N81" s="2">
        <v>21500</v>
      </c>
      <c r="O81" s="2">
        <v>0</v>
      </c>
      <c r="P81" s="2">
        <v>2600</v>
      </c>
      <c r="Q81" s="2"/>
      <c r="R81" s="2">
        <f t="shared" si="0"/>
        <v>1350</v>
      </c>
      <c r="S81" s="2">
        <v>605</v>
      </c>
      <c r="T81" s="2">
        <f t="shared" si="1"/>
        <v>2</v>
      </c>
      <c r="U81" s="2">
        <f>MOD(R81,S81)</f>
        <v>140</v>
      </c>
      <c r="V81" s="2"/>
      <c r="W81" s="24">
        <v>2600</v>
      </c>
      <c r="X81" s="2">
        <v>225</v>
      </c>
      <c r="Y81" s="24">
        <v>400</v>
      </c>
      <c r="Z81" s="2">
        <f>SUM(Y81)</f>
        <v>400</v>
      </c>
      <c r="AA81" s="23"/>
      <c r="AB81" s="2">
        <f>SUM(AA75:AA81)</f>
        <v>1</v>
      </c>
      <c r="AC81" s="2"/>
      <c r="AD81" s="2"/>
      <c r="AE81" s="2"/>
      <c r="AF81" s="2"/>
      <c r="AG81" s="2"/>
    </row>
    <row r="82" spans="8:33" x14ac:dyDescent="0.25">
      <c r="H82" s="2"/>
      <c r="I82" s="2">
        <v>24</v>
      </c>
      <c r="J82" s="2">
        <v>33500</v>
      </c>
      <c r="K82" s="2">
        <v>20300</v>
      </c>
      <c r="L82" s="2">
        <v>0</v>
      </c>
      <c r="M82" s="2">
        <v>35800</v>
      </c>
      <c r="N82" s="2">
        <v>20300</v>
      </c>
      <c r="O82" s="2">
        <v>0</v>
      </c>
      <c r="P82" s="2">
        <v>3000</v>
      </c>
      <c r="Q82" s="2"/>
      <c r="R82" s="2">
        <f t="shared" si="0"/>
        <v>2300</v>
      </c>
      <c r="S82" s="2">
        <v>605</v>
      </c>
      <c r="T82" s="2">
        <f t="shared" si="1"/>
        <v>3</v>
      </c>
      <c r="U82" s="2">
        <f>MOD(R82,S82)</f>
        <v>485</v>
      </c>
      <c r="V82" s="2"/>
      <c r="W82" s="25">
        <v>3000</v>
      </c>
      <c r="X82" s="2">
        <v>95</v>
      </c>
      <c r="Y82" s="25">
        <v>95</v>
      </c>
      <c r="Z82" s="2"/>
      <c r="AA82" s="23"/>
      <c r="AB82" s="2"/>
      <c r="AC82" s="2"/>
      <c r="AD82" s="2"/>
      <c r="AE82" s="2"/>
      <c r="AF82" s="2"/>
      <c r="AG82" s="2"/>
    </row>
    <row r="83" spans="8:33" x14ac:dyDescent="0.25">
      <c r="H83" s="2"/>
      <c r="I83" s="2">
        <v>25</v>
      </c>
      <c r="J83" s="2">
        <v>36900</v>
      </c>
      <c r="K83" s="2">
        <v>20300</v>
      </c>
      <c r="L83" s="2">
        <v>0</v>
      </c>
      <c r="M83" s="2">
        <v>36700</v>
      </c>
      <c r="N83" s="2">
        <v>20300</v>
      </c>
      <c r="O83" s="2">
        <v>0</v>
      </c>
      <c r="P83" s="2">
        <v>3000</v>
      </c>
      <c r="Q83" s="2"/>
      <c r="R83" s="2">
        <f t="shared" si="0"/>
        <v>200</v>
      </c>
      <c r="S83" s="2">
        <v>605</v>
      </c>
      <c r="T83" s="2">
        <f t="shared" si="1"/>
        <v>0</v>
      </c>
      <c r="U83" s="2">
        <f>MOD(R83,S83)</f>
        <v>200</v>
      </c>
      <c r="V83" s="2"/>
      <c r="W83" s="25">
        <v>3000</v>
      </c>
      <c r="X83" s="2">
        <v>445</v>
      </c>
      <c r="Y83" s="25">
        <v>95</v>
      </c>
      <c r="Z83" s="2"/>
      <c r="AA83" s="23"/>
      <c r="AB83" s="2"/>
      <c r="AC83" s="2"/>
      <c r="AD83" s="2"/>
      <c r="AE83" s="2"/>
      <c r="AF83" s="2"/>
      <c r="AG83" s="2"/>
    </row>
    <row r="84" spans="8:33" x14ac:dyDescent="0.25">
      <c r="H84" s="2"/>
      <c r="I84" s="2">
        <v>26</v>
      </c>
      <c r="J84" s="2">
        <v>36900</v>
      </c>
      <c r="K84" s="2">
        <v>20300</v>
      </c>
      <c r="L84" s="2">
        <v>0</v>
      </c>
      <c r="M84" s="2">
        <v>36900</v>
      </c>
      <c r="N84" s="2">
        <v>23300</v>
      </c>
      <c r="O84" s="2">
        <v>0</v>
      </c>
      <c r="P84" s="2">
        <v>3000</v>
      </c>
      <c r="Q84" s="2"/>
      <c r="R84" s="2">
        <f t="shared" si="0"/>
        <v>3000</v>
      </c>
      <c r="S84" s="2">
        <v>605</v>
      </c>
      <c r="T84" s="2">
        <f t="shared" si="1"/>
        <v>4</v>
      </c>
      <c r="U84" s="2">
        <f>MOD(R84,S84)</f>
        <v>580</v>
      </c>
      <c r="V84" s="2"/>
      <c r="W84" s="25">
        <v>3000</v>
      </c>
      <c r="X84" s="2">
        <v>445</v>
      </c>
      <c r="Y84" s="25">
        <v>200</v>
      </c>
      <c r="Z84" s="2">
        <f>SUM(Y82:Y84)</f>
        <v>390</v>
      </c>
      <c r="AA84" s="23">
        <v>1</v>
      </c>
      <c r="AB84" s="2"/>
      <c r="AC84" s="2"/>
      <c r="AD84" s="2"/>
      <c r="AE84" s="2"/>
      <c r="AF84" s="2"/>
      <c r="AG84" s="2"/>
    </row>
    <row r="85" spans="8:33" x14ac:dyDescent="0.25">
      <c r="H85" s="2"/>
      <c r="I85" s="2">
        <v>27</v>
      </c>
      <c r="J85" s="2">
        <v>35150</v>
      </c>
      <c r="K85" s="2">
        <v>21500</v>
      </c>
      <c r="L85" s="2">
        <v>0</v>
      </c>
      <c r="M85" s="2">
        <v>36900</v>
      </c>
      <c r="N85" s="2">
        <v>21500</v>
      </c>
      <c r="O85" s="2">
        <v>0</v>
      </c>
      <c r="P85" s="2">
        <v>2400</v>
      </c>
      <c r="Q85" s="2"/>
      <c r="R85" s="2">
        <f t="shared" si="0"/>
        <v>1750</v>
      </c>
      <c r="S85" s="2">
        <v>605</v>
      </c>
      <c r="T85" s="2">
        <f t="shared" si="1"/>
        <v>2</v>
      </c>
      <c r="U85" s="2">
        <f>MOD(R85,S85)</f>
        <v>540</v>
      </c>
      <c r="V85" s="2"/>
      <c r="W85" s="25">
        <v>3000</v>
      </c>
      <c r="X85" s="2">
        <v>285</v>
      </c>
      <c r="Y85" s="25">
        <v>280</v>
      </c>
      <c r="Z85" s="2"/>
      <c r="AA85" s="23"/>
      <c r="AB85" s="2"/>
      <c r="AC85" s="2"/>
      <c r="AD85" s="2"/>
      <c r="AE85" s="2"/>
      <c r="AF85" s="2"/>
      <c r="AG85" s="2"/>
    </row>
    <row r="86" spans="8:33" x14ac:dyDescent="0.25">
      <c r="H86" s="2"/>
      <c r="I86" s="2">
        <v>28</v>
      </c>
      <c r="J86" s="2">
        <v>25350</v>
      </c>
      <c r="K86" s="2">
        <v>2700</v>
      </c>
      <c r="L86" s="2">
        <v>0</v>
      </c>
      <c r="M86" s="2">
        <v>25350</v>
      </c>
      <c r="N86" s="2">
        <v>5150</v>
      </c>
      <c r="O86" s="2">
        <v>0</v>
      </c>
      <c r="P86" s="2">
        <v>2500</v>
      </c>
      <c r="Q86" s="2"/>
      <c r="R86" s="2">
        <f t="shared" si="0"/>
        <v>2450</v>
      </c>
      <c r="S86" s="2">
        <v>605</v>
      </c>
      <c r="T86" s="2">
        <f t="shared" si="1"/>
        <v>4</v>
      </c>
      <c r="U86" s="2">
        <f>MOD(R86,S86)</f>
        <v>30</v>
      </c>
      <c r="V86" s="2"/>
      <c r="W86" s="25">
        <v>3000</v>
      </c>
      <c r="X86" s="2">
        <v>400</v>
      </c>
      <c r="Y86" s="25">
        <v>285</v>
      </c>
      <c r="Z86" s="2">
        <f>SUM(Y85:Y86)</f>
        <v>565</v>
      </c>
      <c r="AA86" s="23">
        <v>1</v>
      </c>
      <c r="AB86" s="2"/>
      <c r="AC86" s="2"/>
      <c r="AD86" s="2"/>
      <c r="AE86" s="2"/>
      <c r="AF86" s="2"/>
      <c r="AG86" s="2"/>
    </row>
    <row r="87" spans="8:33" x14ac:dyDescent="0.25">
      <c r="H87" s="2"/>
      <c r="I87" s="2">
        <v>29</v>
      </c>
      <c r="J87" s="2">
        <v>25350</v>
      </c>
      <c r="K87" s="2">
        <v>5150</v>
      </c>
      <c r="L87" s="2">
        <v>0</v>
      </c>
      <c r="M87" s="2">
        <v>26050</v>
      </c>
      <c r="N87" s="2">
        <v>5150</v>
      </c>
      <c r="O87" s="2">
        <v>0</v>
      </c>
      <c r="P87" s="2">
        <v>3000</v>
      </c>
      <c r="Q87" s="2"/>
      <c r="R87" s="2">
        <f t="shared" si="0"/>
        <v>700</v>
      </c>
      <c r="S87" s="2">
        <v>605</v>
      </c>
      <c r="T87" s="2">
        <f t="shared" si="1"/>
        <v>1</v>
      </c>
      <c r="U87" s="2">
        <f>MOD(R87,S87)</f>
        <v>95</v>
      </c>
      <c r="V87" s="2"/>
      <c r="W87" s="25">
        <v>3000</v>
      </c>
      <c r="X87" s="2">
        <v>485</v>
      </c>
      <c r="Y87" s="25">
        <v>400</v>
      </c>
      <c r="Z87" s="2">
        <f>SUM(Y87)</f>
        <v>400</v>
      </c>
      <c r="AA87" s="2">
        <v>1</v>
      </c>
      <c r="AB87" s="2"/>
      <c r="AC87" s="2"/>
      <c r="AD87" s="2"/>
      <c r="AE87" s="2"/>
      <c r="AF87" s="2"/>
      <c r="AG87" s="2"/>
    </row>
    <row r="88" spans="8:33" x14ac:dyDescent="0.25">
      <c r="H88" s="2"/>
      <c r="I88" s="2">
        <v>30</v>
      </c>
      <c r="J88" s="2">
        <v>2700</v>
      </c>
      <c r="K88" s="2">
        <v>23100</v>
      </c>
      <c r="L88" s="2">
        <v>0</v>
      </c>
      <c r="M88" s="2">
        <v>2700</v>
      </c>
      <c r="N88" s="2">
        <v>20400</v>
      </c>
      <c r="O88" s="2">
        <v>0</v>
      </c>
      <c r="P88" s="2">
        <v>3000</v>
      </c>
      <c r="Q88" s="2"/>
      <c r="R88" s="2">
        <f t="shared" si="0"/>
        <v>2700</v>
      </c>
      <c r="S88" s="2">
        <v>605</v>
      </c>
      <c r="T88" s="2">
        <f t="shared" si="1"/>
        <v>4</v>
      </c>
      <c r="U88" s="2">
        <f>MOD(R88,S88)</f>
        <v>280</v>
      </c>
      <c r="V88" s="2"/>
      <c r="W88" s="25">
        <v>3000</v>
      </c>
      <c r="X88" s="2">
        <v>200</v>
      </c>
      <c r="Y88" s="25">
        <v>445</v>
      </c>
      <c r="Z88" s="2">
        <f t="shared" ref="Z88:Z92" si="7">SUM(Y88)</f>
        <v>445</v>
      </c>
      <c r="AA88" s="2">
        <v>1</v>
      </c>
      <c r="AB88" s="2"/>
      <c r="AC88" s="2"/>
      <c r="AD88" s="2"/>
      <c r="AE88" s="2"/>
      <c r="AF88" s="2"/>
      <c r="AG88" s="2"/>
    </row>
    <row r="89" spans="8:33" x14ac:dyDescent="0.25">
      <c r="H89" s="2"/>
      <c r="I89" s="2">
        <v>31</v>
      </c>
      <c r="J89" s="2">
        <v>2700</v>
      </c>
      <c r="K89" s="2">
        <v>21600</v>
      </c>
      <c r="L89" s="2">
        <v>0</v>
      </c>
      <c r="M89" s="2">
        <v>4700</v>
      </c>
      <c r="N89" s="2">
        <v>21600</v>
      </c>
      <c r="O89" s="2">
        <v>0</v>
      </c>
      <c r="P89" s="2">
        <v>2500</v>
      </c>
      <c r="Q89" s="2"/>
      <c r="R89" s="2">
        <f t="shared" si="0"/>
        <v>2000</v>
      </c>
      <c r="S89" s="2">
        <v>605</v>
      </c>
      <c r="T89" s="2">
        <f t="shared" si="1"/>
        <v>3</v>
      </c>
      <c r="U89" s="2">
        <f>MOD(R89,S89)</f>
        <v>185</v>
      </c>
      <c r="V89" s="2"/>
      <c r="W89" s="25">
        <v>3000</v>
      </c>
      <c r="X89" s="2">
        <v>580</v>
      </c>
      <c r="Y89" s="25">
        <v>445</v>
      </c>
      <c r="Z89" s="2">
        <f t="shared" si="7"/>
        <v>445</v>
      </c>
      <c r="AA89" s="2">
        <v>1</v>
      </c>
      <c r="AB89" s="2"/>
      <c r="AC89" s="2"/>
      <c r="AD89" s="2"/>
      <c r="AE89" s="2"/>
      <c r="AF89" s="2"/>
      <c r="AG89" s="2"/>
    </row>
    <row r="90" spans="8:33" x14ac:dyDescent="0.25">
      <c r="H90" s="2"/>
      <c r="I90" s="2">
        <v>32</v>
      </c>
      <c r="J90" s="2">
        <v>10200</v>
      </c>
      <c r="K90" s="2">
        <v>24850</v>
      </c>
      <c r="L90" s="2">
        <v>0</v>
      </c>
      <c r="M90" s="2">
        <v>10200</v>
      </c>
      <c r="N90" s="2">
        <v>21600</v>
      </c>
      <c r="O90" s="2">
        <v>0</v>
      </c>
      <c r="P90" s="2">
        <v>2600</v>
      </c>
      <c r="Q90" s="2"/>
      <c r="R90" s="2">
        <f t="shared" si="0"/>
        <v>3250</v>
      </c>
      <c r="S90" s="2">
        <v>605</v>
      </c>
      <c r="T90" s="2">
        <f t="shared" si="1"/>
        <v>5</v>
      </c>
      <c r="U90" s="2">
        <f>MOD(R90,S90)</f>
        <v>225</v>
      </c>
      <c r="V90" s="2"/>
      <c r="W90" s="25">
        <v>3000</v>
      </c>
      <c r="X90" s="2">
        <v>95</v>
      </c>
      <c r="Y90" s="25">
        <v>485</v>
      </c>
      <c r="Z90" s="2">
        <f t="shared" si="7"/>
        <v>485</v>
      </c>
      <c r="AA90" s="2">
        <v>1</v>
      </c>
      <c r="AB90" s="2"/>
      <c r="AC90" s="2"/>
      <c r="AD90" s="2"/>
      <c r="AE90" s="2"/>
      <c r="AF90" s="2"/>
      <c r="AG90" s="2"/>
    </row>
    <row r="91" spans="8:33" x14ac:dyDescent="0.25">
      <c r="H91" s="2"/>
      <c r="I91" s="2">
        <v>33</v>
      </c>
      <c r="J91" s="2">
        <v>13100</v>
      </c>
      <c r="K91" s="2">
        <v>21600</v>
      </c>
      <c r="L91" s="2">
        <v>0</v>
      </c>
      <c r="M91" s="2">
        <v>8550</v>
      </c>
      <c r="N91" s="2">
        <v>21600</v>
      </c>
      <c r="O91" s="2">
        <v>0</v>
      </c>
      <c r="P91" s="2">
        <v>2500</v>
      </c>
      <c r="Q91" s="2"/>
      <c r="R91" s="2">
        <f t="shared" si="0"/>
        <v>4550</v>
      </c>
      <c r="S91" s="2">
        <v>605</v>
      </c>
      <c r="T91" s="2">
        <f t="shared" si="1"/>
        <v>7</v>
      </c>
      <c r="U91" s="2">
        <f>MOD(R91,S91)</f>
        <v>315</v>
      </c>
      <c r="V91" s="2"/>
      <c r="W91" s="25">
        <v>3000</v>
      </c>
      <c r="X91" s="2">
        <v>280</v>
      </c>
      <c r="Y91" s="25">
        <v>580</v>
      </c>
      <c r="Z91" s="2">
        <f t="shared" si="7"/>
        <v>580</v>
      </c>
      <c r="AA91" s="2">
        <v>1</v>
      </c>
      <c r="AB91" s="2">
        <f>SUM(AA81:AA91)</f>
        <v>7</v>
      </c>
      <c r="AC91" s="2"/>
      <c r="AD91" s="2"/>
      <c r="AE91" s="2"/>
      <c r="AF91" s="2"/>
      <c r="AG91" s="2"/>
    </row>
    <row r="92" spans="8:33" x14ac:dyDescent="0.25">
      <c r="H92" s="2"/>
      <c r="I92" s="2"/>
      <c r="J92" s="2"/>
      <c r="K92" s="2"/>
      <c r="L92" s="2"/>
      <c r="M92" s="2"/>
      <c r="N92" s="2"/>
      <c r="O92" s="2"/>
      <c r="P92" s="2">
        <f>STDEV(P59:P91)</f>
        <v>225.67239597042055</v>
      </c>
      <c r="Q92" s="2"/>
      <c r="R92" s="2">
        <f t="shared" ref="Q92:Z92" si="8">STDEV(R59:R91)</f>
        <v>1183.3259976298443</v>
      </c>
      <c r="S92" s="2"/>
      <c r="T92" s="2">
        <f>SUM(T59:T91)</f>
        <v>77</v>
      </c>
      <c r="U92" s="2">
        <f t="shared" si="8"/>
        <v>177.33560462204613</v>
      </c>
      <c r="V92" s="2"/>
      <c r="W92" s="2">
        <f t="shared" si="8"/>
        <v>225.67239597042058</v>
      </c>
      <c r="X92" s="2">
        <f t="shared" si="8"/>
        <v>177.33560462204613</v>
      </c>
      <c r="Y92" s="2">
        <f t="shared" si="8"/>
        <v>177.33560462204613</v>
      </c>
      <c r="Z92" s="2">
        <f t="shared" si="8"/>
        <v>91.305508631367687</v>
      </c>
      <c r="AA92" s="2"/>
      <c r="AB92" s="2"/>
      <c r="AC92" s="2"/>
      <c r="AD92" s="2"/>
      <c r="AE92" s="2"/>
      <c r="AF92" s="2"/>
      <c r="AG92" s="2"/>
    </row>
    <row r="98" spans="9:33" ht="16.2" x14ac:dyDescent="0.25">
      <c r="I98" s="12" t="s">
        <v>22</v>
      </c>
      <c r="J98" s="12" t="s">
        <v>0</v>
      </c>
      <c r="K98" s="12" t="s">
        <v>1</v>
      </c>
      <c r="L98" s="12" t="s">
        <v>2</v>
      </c>
      <c r="M98" s="12" t="s">
        <v>3</v>
      </c>
      <c r="N98" s="12" t="s">
        <v>4</v>
      </c>
      <c r="O98" s="12" t="s">
        <v>5</v>
      </c>
      <c r="P98" s="12" t="s">
        <v>6</v>
      </c>
      <c r="Q98" s="2"/>
      <c r="R98" s="3" t="s">
        <v>7</v>
      </c>
      <c r="S98" s="4" t="s">
        <v>10</v>
      </c>
      <c r="T98" s="5" t="s">
        <v>11</v>
      </c>
      <c r="U98" s="6" t="s">
        <v>12</v>
      </c>
      <c r="V98" s="2"/>
      <c r="W98" s="7" t="s">
        <v>8</v>
      </c>
      <c r="X98" s="7" t="s">
        <v>13</v>
      </c>
      <c r="Y98" s="8" t="s">
        <v>14</v>
      </c>
      <c r="Z98" s="9" t="s">
        <v>9</v>
      </c>
      <c r="AA98" s="10" t="s">
        <v>23</v>
      </c>
      <c r="AB98" s="11" t="s">
        <v>15</v>
      </c>
      <c r="AC98" s="2"/>
      <c r="AD98" s="2"/>
      <c r="AE98" s="2"/>
      <c r="AF98" s="2"/>
      <c r="AG98" s="2"/>
    </row>
    <row r="99" spans="9:33" x14ac:dyDescent="0.25">
      <c r="I99" s="13">
        <v>1</v>
      </c>
      <c r="J99" s="26">
        <v>13350</v>
      </c>
      <c r="K99" s="26">
        <v>3750</v>
      </c>
      <c r="L99" s="26">
        <v>0</v>
      </c>
      <c r="M99" s="26">
        <v>16400</v>
      </c>
      <c r="N99" s="26">
        <v>3750</v>
      </c>
      <c r="O99" s="26">
        <v>0</v>
      </c>
      <c r="P99" s="14">
        <v>2600</v>
      </c>
      <c r="Q99" s="2"/>
      <c r="R99" s="13">
        <f t="shared" ref="R99:R131" si="9">((J99-M99)^2+(K99-N99)^2)^0.5</f>
        <v>3050</v>
      </c>
      <c r="S99" s="26">
        <v>605</v>
      </c>
      <c r="T99" s="26">
        <f t="shared" ref="T99:T131" si="10">QUOTIENT(R99,S99)</f>
        <v>5</v>
      </c>
      <c r="U99" s="14">
        <f>MOD(R99,S99)</f>
        <v>25</v>
      </c>
      <c r="V99" s="2"/>
      <c r="W99" s="15">
        <v>2400</v>
      </c>
      <c r="X99" s="26">
        <v>540</v>
      </c>
      <c r="Y99" s="29">
        <v>540</v>
      </c>
      <c r="Z99" s="26"/>
      <c r="AA99" s="26"/>
      <c r="AB99" s="14"/>
      <c r="AC99" s="2"/>
      <c r="AD99" s="2"/>
      <c r="AE99" s="2"/>
      <c r="AF99" s="2"/>
      <c r="AG99" s="2"/>
    </row>
    <row r="100" spans="9:33" x14ac:dyDescent="0.25">
      <c r="I100" s="13">
        <v>2</v>
      </c>
      <c r="J100" s="26">
        <v>16400</v>
      </c>
      <c r="K100" s="26">
        <v>3750</v>
      </c>
      <c r="L100" s="26">
        <v>0</v>
      </c>
      <c r="M100" s="26">
        <v>16400</v>
      </c>
      <c r="N100" s="26">
        <v>5300</v>
      </c>
      <c r="O100" s="26">
        <v>0</v>
      </c>
      <c r="P100" s="14">
        <v>2500</v>
      </c>
      <c r="Q100" s="2"/>
      <c r="R100" s="13">
        <f t="shared" si="9"/>
        <v>1550</v>
      </c>
      <c r="S100" s="26">
        <v>605</v>
      </c>
      <c r="T100" s="26">
        <f t="shared" si="10"/>
        <v>2</v>
      </c>
      <c r="U100" s="14">
        <f>MOD(R100,S100)</f>
        <v>340</v>
      </c>
      <c r="V100" s="2"/>
      <c r="W100" s="30">
        <v>2500</v>
      </c>
      <c r="X100" s="26">
        <v>340</v>
      </c>
      <c r="Y100" s="31">
        <v>30</v>
      </c>
      <c r="Z100" s="26"/>
      <c r="AA100" s="26"/>
      <c r="AB100" s="14"/>
      <c r="AC100" s="2"/>
      <c r="AD100" s="2"/>
      <c r="AE100" s="2"/>
      <c r="AF100" s="2"/>
      <c r="AG100" s="2"/>
    </row>
    <row r="101" spans="9:33" x14ac:dyDescent="0.25">
      <c r="I101" s="13">
        <v>3</v>
      </c>
      <c r="J101" s="26">
        <v>17450</v>
      </c>
      <c r="K101" s="26">
        <v>5150</v>
      </c>
      <c r="L101" s="26">
        <v>0</v>
      </c>
      <c r="M101" s="26">
        <v>18150</v>
      </c>
      <c r="N101" s="26">
        <v>5150</v>
      </c>
      <c r="O101" s="26">
        <v>0</v>
      </c>
      <c r="P101" s="14">
        <v>3000</v>
      </c>
      <c r="Q101" s="2"/>
      <c r="R101" s="13">
        <f t="shared" si="9"/>
        <v>700</v>
      </c>
      <c r="S101" s="26">
        <v>605</v>
      </c>
      <c r="T101" s="26">
        <f t="shared" si="10"/>
        <v>1</v>
      </c>
      <c r="U101" s="14">
        <f>MOD(R101,S101)</f>
        <v>95</v>
      </c>
      <c r="V101" s="2"/>
      <c r="W101" s="30">
        <v>2500</v>
      </c>
      <c r="X101" s="26">
        <v>30</v>
      </c>
      <c r="Y101" s="31">
        <v>30</v>
      </c>
      <c r="Z101" s="26">
        <f>SUM(Y99:Y101)</f>
        <v>600</v>
      </c>
      <c r="AA101" s="26">
        <v>1</v>
      </c>
      <c r="AB101" s="14"/>
      <c r="AC101" s="2"/>
      <c r="AD101" s="2"/>
      <c r="AE101" s="2"/>
      <c r="AF101" s="2"/>
      <c r="AG101" s="2"/>
    </row>
    <row r="102" spans="9:33" x14ac:dyDescent="0.25">
      <c r="I102" s="13">
        <v>4</v>
      </c>
      <c r="J102" s="26">
        <v>18150</v>
      </c>
      <c r="K102" s="26">
        <v>5150</v>
      </c>
      <c r="L102" s="26">
        <v>0</v>
      </c>
      <c r="M102" s="26">
        <v>18150</v>
      </c>
      <c r="N102" s="26">
        <v>2700</v>
      </c>
      <c r="O102" s="26">
        <v>0</v>
      </c>
      <c r="P102" s="14">
        <v>2500</v>
      </c>
      <c r="Q102" s="2"/>
      <c r="R102" s="13">
        <f t="shared" si="9"/>
        <v>2450</v>
      </c>
      <c r="S102" s="26">
        <v>605</v>
      </c>
      <c r="T102" s="26">
        <f t="shared" si="10"/>
        <v>4</v>
      </c>
      <c r="U102" s="14">
        <f>MOD(R102,S102)</f>
        <v>30</v>
      </c>
      <c r="V102" s="2"/>
      <c r="W102" s="30">
        <v>2500</v>
      </c>
      <c r="X102" s="26">
        <v>300</v>
      </c>
      <c r="Y102" s="31">
        <v>95</v>
      </c>
      <c r="Z102" s="26"/>
      <c r="AA102" s="32"/>
      <c r="AB102" s="14"/>
      <c r="AC102" s="2"/>
      <c r="AD102" s="2"/>
      <c r="AE102" s="2"/>
      <c r="AF102" s="2"/>
      <c r="AG102" s="2"/>
    </row>
    <row r="103" spans="9:33" x14ac:dyDescent="0.25">
      <c r="I103" s="13">
        <v>5</v>
      </c>
      <c r="J103" s="26">
        <v>13350</v>
      </c>
      <c r="K103" s="26">
        <v>6350</v>
      </c>
      <c r="L103" s="26">
        <v>0</v>
      </c>
      <c r="M103" s="26">
        <v>16400</v>
      </c>
      <c r="N103" s="26">
        <v>6350</v>
      </c>
      <c r="O103" s="26">
        <v>0</v>
      </c>
      <c r="P103" s="14">
        <v>2600</v>
      </c>
      <c r="Q103" s="2"/>
      <c r="R103" s="13">
        <f t="shared" si="9"/>
        <v>3050</v>
      </c>
      <c r="S103" s="26">
        <v>605</v>
      </c>
      <c r="T103" s="26">
        <f t="shared" si="10"/>
        <v>5</v>
      </c>
      <c r="U103" s="14">
        <f>MOD(R103,S103)</f>
        <v>25</v>
      </c>
      <c r="V103" s="2"/>
      <c r="W103" s="30">
        <v>2500</v>
      </c>
      <c r="X103" s="26">
        <v>240</v>
      </c>
      <c r="Y103" s="31">
        <v>185</v>
      </c>
      <c r="Z103" s="26"/>
      <c r="AA103" s="32"/>
      <c r="AB103" s="14"/>
      <c r="AC103" s="2"/>
      <c r="AD103" s="2"/>
      <c r="AE103" s="2"/>
      <c r="AF103" s="2"/>
      <c r="AG103" s="2"/>
    </row>
    <row r="104" spans="9:33" x14ac:dyDescent="0.25">
      <c r="I104" s="13">
        <v>6</v>
      </c>
      <c r="J104" s="26">
        <v>16400</v>
      </c>
      <c r="K104" s="26">
        <v>6500</v>
      </c>
      <c r="L104" s="26">
        <v>0</v>
      </c>
      <c r="M104" s="26">
        <v>16400</v>
      </c>
      <c r="N104" s="26">
        <v>6200</v>
      </c>
      <c r="O104" s="26">
        <v>0</v>
      </c>
      <c r="P104" s="14">
        <v>2500</v>
      </c>
      <c r="Q104" s="2"/>
      <c r="R104" s="13">
        <f t="shared" si="9"/>
        <v>300</v>
      </c>
      <c r="S104" s="26">
        <v>605</v>
      </c>
      <c r="T104" s="26">
        <f t="shared" si="10"/>
        <v>0</v>
      </c>
      <c r="U104" s="14">
        <f>MOD(R104,S104)</f>
        <v>300</v>
      </c>
      <c r="V104" s="2"/>
      <c r="W104" s="30">
        <v>2500</v>
      </c>
      <c r="X104" s="26">
        <v>300</v>
      </c>
      <c r="Y104" s="31">
        <v>240</v>
      </c>
      <c r="Z104" s="26">
        <f>SUM(Y102:Y104)</f>
        <v>520</v>
      </c>
      <c r="AA104" s="32">
        <v>1</v>
      </c>
      <c r="AB104" s="14"/>
      <c r="AC104" s="2"/>
      <c r="AD104" s="2"/>
      <c r="AE104" s="2"/>
      <c r="AF104" s="2"/>
      <c r="AG104" s="2"/>
    </row>
    <row r="105" spans="9:33" x14ac:dyDescent="0.25">
      <c r="I105" s="13">
        <v>7</v>
      </c>
      <c r="J105" s="26">
        <v>27100</v>
      </c>
      <c r="K105" s="26">
        <v>5200</v>
      </c>
      <c r="L105" s="26">
        <v>0</v>
      </c>
      <c r="M105" s="26">
        <v>27100</v>
      </c>
      <c r="N105" s="26">
        <v>3750</v>
      </c>
      <c r="O105" s="26">
        <v>0</v>
      </c>
      <c r="P105" s="14">
        <v>2500</v>
      </c>
      <c r="Q105" s="2"/>
      <c r="R105" s="13">
        <f t="shared" si="9"/>
        <v>1450</v>
      </c>
      <c r="S105" s="26">
        <v>605</v>
      </c>
      <c r="T105" s="26">
        <f t="shared" si="10"/>
        <v>2</v>
      </c>
      <c r="U105" s="14">
        <f>MOD(R105,S105)</f>
        <v>240</v>
      </c>
      <c r="V105" s="2"/>
      <c r="W105" s="30">
        <v>2500</v>
      </c>
      <c r="X105" s="26">
        <v>545</v>
      </c>
      <c r="Y105" s="31">
        <v>250</v>
      </c>
      <c r="Z105" s="26"/>
      <c r="AA105" s="32"/>
      <c r="AB105" s="14"/>
      <c r="AC105" s="2"/>
      <c r="AD105" s="2"/>
      <c r="AE105" s="2"/>
      <c r="AF105" s="2"/>
      <c r="AG105" s="2"/>
    </row>
    <row r="106" spans="9:33" x14ac:dyDescent="0.25">
      <c r="I106" s="13">
        <v>8</v>
      </c>
      <c r="J106" s="26">
        <v>27100</v>
      </c>
      <c r="K106" s="26">
        <v>3750</v>
      </c>
      <c r="L106" s="26">
        <v>0</v>
      </c>
      <c r="M106" s="26">
        <v>30150</v>
      </c>
      <c r="N106" s="26">
        <v>3750</v>
      </c>
      <c r="O106" s="26">
        <v>0</v>
      </c>
      <c r="P106" s="14">
        <v>2600</v>
      </c>
      <c r="Q106" s="2"/>
      <c r="R106" s="13">
        <f t="shared" si="9"/>
        <v>3050</v>
      </c>
      <c r="S106" s="26">
        <v>605</v>
      </c>
      <c r="T106" s="26">
        <f t="shared" si="10"/>
        <v>5</v>
      </c>
      <c r="U106" s="14">
        <f>MOD(R106,S106)</f>
        <v>25</v>
      </c>
      <c r="V106" s="2"/>
      <c r="W106" s="30">
        <v>2500</v>
      </c>
      <c r="X106" s="26">
        <v>250</v>
      </c>
      <c r="Y106" s="31">
        <v>250</v>
      </c>
      <c r="Z106" s="26">
        <f t="shared" ref="Z106" si="11">SUM(Y105:Y106)</f>
        <v>500</v>
      </c>
      <c r="AA106" s="32">
        <v>1</v>
      </c>
      <c r="AB106" s="14"/>
      <c r="AC106" s="2"/>
      <c r="AD106" s="2"/>
      <c r="AE106" s="2"/>
      <c r="AF106" s="2"/>
      <c r="AG106" s="2"/>
    </row>
    <row r="107" spans="9:33" x14ac:dyDescent="0.25">
      <c r="I107" s="13">
        <v>9</v>
      </c>
      <c r="J107" s="26">
        <v>27100</v>
      </c>
      <c r="K107" s="26">
        <v>6500</v>
      </c>
      <c r="L107" s="26">
        <v>0</v>
      </c>
      <c r="M107" s="26">
        <v>27100</v>
      </c>
      <c r="N107" s="26">
        <v>6200</v>
      </c>
      <c r="O107" s="26">
        <v>0</v>
      </c>
      <c r="P107" s="14">
        <v>2500</v>
      </c>
      <c r="Q107" s="2"/>
      <c r="R107" s="13">
        <f t="shared" si="9"/>
        <v>300</v>
      </c>
      <c r="S107" s="26">
        <v>605</v>
      </c>
      <c r="T107" s="26">
        <f t="shared" si="10"/>
        <v>0</v>
      </c>
      <c r="U107" s="14">
        <f>MOD(R107,S107)</f>
        <v>300</v>
      </c>
      <c r="V107" s="2"/>
      <c r="W107" s="30">
        <v>2500</v>
      </c>
      <c r="X107" s="26">
        <v>250</v>
      </c>
      <c r="Y107" s="31">
        <v>300</v>
      </c>
      <c r="Z107" s="26"/>
      <c r="AA107" s="32"/>
      <c r="AB107" s="14"/>
      <c r="AC107" s="2"/>
      <c r="AD107" s="2"/>
      <c r="AE107" s="2"/>
      <c r="AF107" s="2"/>
      <c r="AG107" s="2"/>
    </row>
    <row r="108" spans="9:33" x14ac:dyDescent="0.25">
      <c r="I108" s="13">
        <v>10</v>
      </c>
      <c r="J108" s="26">
        <v>27100</v>
      </c>
      <c r="K108" s="26">
        <v>6350</v>
      </c>
      <c r="L108" s="26">
        <v>0</v>
      </c>
      <c r="M108" s="26">
        <v>30150</v>
      </c>
      <c r="N108" s="26">
        <v>6350</v>
      </c>
      <c r="O108" s="26">
        <v>0</v>
      </c>
      <c r="P108" s="14">
        <v>2600</v>
      </c>
      <c r="Q108" s="2"/>
      <c r="R108" s="13">
        <f t="shared" si="9"/>
        <v>3050</v>
      </c>
      <c r="S108" s="26">
        <v>605</v>
      </c>
      <c r="T108" s="26">
        <f t="shared" si="10"/>
        <v>5</v>
      </c>
      <c r="U108" s="14">
        <f>MOD(R108,S108)</f>
        <v>25</v>
      </c>
      <c r="V108" s="2"/>
      <c r="W108" s="30">
        <v>2500</v>
      </c>
      <c r="X108" s="26">
        <v>545</v>
      </c>
      <c r="Y108" s="31">
        <v>300</v>
      </c>
      <c r="Z108" s="26">
        <f t="shared" ref="Z108" si="12">SUM(Y107:Y108)</f>
        <v>600</v>
      </c>
      <c r="AA108" s="32">
        <v>1</v>
      </c>
      <c r="AB108" s="14"/>
      <c r="AC108" s="2"/>
      <c r="AD108" s="2"/>
      <c r="AE108" s="2"/>
      <c r="AF108" s="2"/>
      <c r="AG108" s="2"/>
    </row>
    <row r="109" spans="9:33" x14ac:dyDescent="0.25">
      <c r="I109" s="13">
        <v>11</v>
      </c>
      <c r="J109" s="26">
        <v>19950</v>
      </c>
      <c r="K109" s="26">
        <v>8550</v>
      </c>
      <c r="L109" s="26">
        <v>0</v>
      </c>
      <c r="M109" s="26">
        <v>18800</v>
      </c>
      <c r="N109" s="26">
        <v>8550</v>
      </c>
      <c r="O109" s="26">
        <v>0</v>
      </c>
      <c r="P109" s="14">
        <v>2500</v>
      </c>
      <c r="Q109" s="2"/>
      <c r="R109" s="13">
        <f t="shared" si="9"/>
        <v>1150</v>
      </c>
      <c r="S109" s="26">
        <v>605</v>
      </c>
      <c r="T109" s="26">
        <f t="shared" si="10"/>
        <v>1</v>
      </c>
      <c r="U109" s="14">
        <f>MOD(R109,S109)</f>
        <v>545</v>
      </c>
      <c r="V109" s="2"/>
      <c r="W109" s="30">
        <v>2500</v>
      </c>
      <c r="X109" s="26">
        <v>325</v>
      </c>
      <c r="Y109" s="31">
        <v>315</v>
      </c>
      <c r="Z109" s="26">
        <f>SUM(Y109)</f>
        <v>315</v>
      </c>
      <c r="AA109" s="32">
        <v>1</v>
      </c>
      <c r="AB109" s="14"/>
      <c r="AC109" s="2"/>
      <c r="AD109" s="2"/>
      <c r="AE109" s="2"/>
      <c r="AF109" s="2"/>
      <c r="AG109" s="2"/>
    </row>
    <row r="110" spans="9:33" x14ac:dyDescent="0.25">
      <c r="I110" s="13">
        <v>12</v>
      </c>
      <c r="J110" s="26">
        <v>19950</v>
      </c>
      <c r="K110" s="26">
        <v>8800</v>
      </c>
      <c r="L110" s="26">
        <v>0</v>
      </c>
      <c r="M110" s="26">
        <v>19950</v>
      </c>
      <c r="N110" s="26">
        <v>8550</v>
      </c>
      <c r="O110" s="26">
        <v>0</v>
      </c>
      <c r="P110" s="14">
        <v>2500</v>
      </c>
      <c r="Q110" s="2"/>
      <c r="R110" s="13">
        <f t="shared" si="9"/>
        <v>250</v>
      </c>
      <c r="S110" s="26">
        <v>605</v>
      </c>
      <c r="T110" s="26">
        <f t="shared" si="10"/>
        <v>0</v>
      </c>
      <c r="U110" s="14">
        <f>MOD(R110,S110)</f>
        <v>250</v>
      </c>
      <c r="V110" s="2"/>
      <c r="W110" s="30">
        <v>2500</v>
      </c>
      <c r="X110" s="26">
        <v>500</v>
      </c>
      <c r="Y110" s="31">
        <v>325</v>
      </c>
      <c r="Z110" s="26">
        <f>SUM(Y110)</f>
        <v>325</v>
      </c>
      <c r="AA110" s="32">
        <v>1</v>
      </c>
      <c r="AB110" s="14"/>
      <c r="AC110" s="2"/>
      <c r="AD110" s="2"/>
      <c r="AE110" s="2"/>
      <c r="AF110" s="2"/>
      <c r="AG110" s="2"/>
    </row>
    <row r="111" spans="9:33" x14ac:dyDescent="0.25">
      <c r="I111" s="13">
        <v>13</v>
      </c>
      <c r="J111" s="26">
        <v>23550</v>
      </c>
      <c r="K111" s="26">
        <v>8800</v>
      </c>
      <c r="L111" s="26">
        <v>0</v>
      </c>
      <c r="M111" s="26">
        <v>23550</v>
      </c>
      <c r="N111" s="26">
        <v>8550</v>
      </c>
      <c r="O111" s="26">
        <v>0</v>
      </c>
      <c r="P111" s="14">
        <v>2500</v>
      </c>
      <c r="Q111" s="2"/>
      <c r="R111" s="13">
        <f t="shared" si="9"/>
        <v>250</v>
      </c>
      <c r="S111" s="26">
        <v>605</v>
      </c>
      <c r="T111" s="26">
        <f t="shared" si="10"/>
        <v>0</v>
      </c>
      <c r="U111" s="14">
        <f>MOD(R111,S111)</f>
        <v>250</v>
      </c>
      <c r="V111" s="2"/>
      <c r="W111" s="30">
        <v>2500</v>
      </c>
      <c r="X111" s="26">
        <v>95</v>
      </c>
      <c r="Y111" s="31">
        <v>340</v>
      </c>
      <c r="Z111" s="26">
        <f>SUM(Y111)</f>
        <v>340</v>
      </c>
      <c r="AA111" s="32">
        <v>1</v>
      </c>
      <c r="AB111" s="14"/>
      <c r="AC111" s="2"/>
      <c r="AD111" s="2"/>
      <c r="AE111" s="2"/>
      <c r="AF111" s="2"/>
      <c r="AG111" s="2"/>
    </row>
    <row r="112" spans="9:33" x14ac:dyDescent="0.25">
      <c r="I112" s="13">
        <v>14</v>
      </c>
      <c r="J112" s="26">
        <v>23550</v>
      </c>
      <c r="K112" s="26">
        <v>8550</v>
      </c>
      <c r="L112" s="26">
        <v>0</v>
      </c>
      <c r="M112" s="26">
        <v>24700</v>
      </c>
      <c r="N112" s="26">
        <v>8550</v>
      </c>
      <c r="O112" s="26">
        <v>0</v>
      </c>
      <c r="P112" s="14">
        <v>2500</v>
      </c>
      <c r="Q112" s="2"/>
      <c r="R112" s="13">
        <f t="shared" si="9"/>
        <v>1150</v>
      </c>
      <c r="S112" s="26">
        <v>605</v>
      </c>
      <c r="T112" s="26">
        <f t="shared" si="10"/>
        <v>1</v>
      </c>
      <c r="U112" s="14">
        <f>MOD(R112,S112)</f>
        <v>545</v>
      </c>
      <c r="V112" s="2"/>
      <c r="W112" s="30">
        <v>2500</v>
      </c>
      <c r="X112" s="26">
        <v>30</v>
      </c>
      <c r="Y112" s="31">
        <v>500</v>
      </c>
      <c r="Z112" s="26">
        <f>SUM(Y112)</f>
        <v>500</v>
      </c>
      <c r="AA112" s="32">
        <v>1</v>
      </c>
      <c r="AB112" s="14"/>
      <c r="AC112" s="2"/>
      <c r="AD112" s="17" t="s">
        <v>16</v>
      </c>
      <c r="AE112" s="18">
        <v>2500</v>
      </c>
      <c r="AF112" s="18">
        <v>2600</v>
      </c>
      <c r="AG112" s="18">
        <v>3000</v>
      </c>
    </row>
    <row r="113" spans="9:33" x14ac:dyDescent="0.25">
      <c r="I113" s="13">
        <v>15</v>
      </c>
      <c r="J113" s="26">
        <v>19950</v>
      </c>
      <c r="K113" s="26">
        <v>11450</v>
      </c>
      <c r="L113" s="26">
        <v>0</v>
      </c>
      <c r="M113" s="26">
        <v>19950</v>
      </c>
      <c r="N113" s="26">
        <v>10400</v>
      </c>
      <c r="O113" s="26">
        <v>0</v>
      </c>
      <c r="P113" s="14">
        <v>3000</v>
      </c>
      <c r="Q113" s="2"/>
      <c r="R113" s="13">
        <f t="shared" si="9"/>
        <v>1050</v>
      </c>
      <c r="S113" s="26">
        <v>605</v>
      </c>
      <c r="T113" s="26">
        <f t="shared" si="10"/>
        <v>1</v>
      </c>
      <c r="U113" s="14">
        <f>MOD(R113,S113)</f>
        <v>445</v>
      </c>
      <c r="V113" s="2"/>
      <c r="W113" s="30">
        <v>2500</v>
      </c>
      <c r="X113" s="26">
        <v>185</v>
      </c>
      <c r="Y113" s="31">
        <v>545</v>
      </c>
      <c r="Z113" s="26">
        <f t="shared" ref="Z113:Z114" si="13">SUM(Y113)</f>
        <v>545</v>
      </c>
      <c r="AA113" s="32">
        <v>1</v>
      </c>
      <c r="AB113" s="14"/>
      <c r="AC113" s="2"/>
      <c r="AD113" s="16" t="s">
        <v>17</v>
      </c>
      <c r="AE113" s="26">
        <v>32</v>
      </c>
      <c r="AF113" s="26">
        <v>27</v>
      </c>
      <c r="AG113" s="14">
        <v>18</v>
      </c>
    </row>
    <row r="114" spans="9:33" x14ac:dyDescent="0.25">
      <c r="I114" s="13">
        <v>16</v>
      </c>
      <c r="J114" s="26">
        <v>23550</v>
      </c>
      <c r="K114" s="26">
        <v>11450</v>
      </c>
      <c r="L114" s="26">
        <v>0</v>
      </c>
      <c r="M114" s="26">
        <v>23550</v>
      </c>
      <c r="N114" s="26">
        <v>10400</v>
      </c>
      <c r="O114" s="26">
        <v>0</v>
      </c>
      <c r="P114" s="14">
        <v>3000</v>
      </c>
      <c r="Q114" s="2"/>
      <c r="R114" s="13">
        <f t="shared" si="9"/>
        <v>1050</v>
      </c>
      <c r="S114" s="26">
        <v>605</v>
      </c>
      <c r="T114" s="26">
        <f t="shared" si="10"/>
        <v>1</v>
      </c>
      <c r="U114" s="14">
        <f>MOD(R114,S114)</f>
        <v>445</v>
      </c>
      <c r="V114" s="2"/>
      <c r="W114" s="30">
        <v>2500</v>
      </c>
      <c r="X114" s="26">
        <v>315</v>
      </c>
      <c r="Y114" s="31">
        <v>545</v>
      </c>
      <c r="Z114" s="26">
        <f t="shared" si="13"/>
        <v>545</v>
      </c>
      <c r="AA114" s="32">
        <v>1</v>
      </c>
      <c r="AB114" s="14">
        <f>SUM(AA99:AA114)</f>
        <v>10</v>
      </c>
      <c r="AC114" s="2"/>
      <c r="AD114" s="16" t="s">
        <v>18</v>
      </c>
      <c r="AE114" s="26">
        <v>10</v>
      </c>
      <c r="AF114" s="26">
        <v>1</v>
      </c>
      <c r="AG114" s="14">
        <v>7</v>
      </c>
    </row>
    <row r="115" spans="9:33" x14ac:dyDescent="0.25">
      <c r="I115" s="13">
        <v>17</v>
      </c>
      <c r="J115" s="26">
        <v>3700</v>
      </c>
      <c r="K115" s="26">
        <v>20400</v>
      </c>
      <c r="L115" s="26">
        <v>0</v>
      </c>
      <c r="M115" s="26">
        <v>4100</v>
      </c>
      <c r="N115" s="26">
        <v>20400</v>
      </c>
      <c r="O115" s="26">
        <v>0</v>
      </c>
      <c r="P115" s="14">
        <v>2600</v>
      </c>
      <c r="Q115" s="2"/>
      <c r="R115" s="13">
        <f t="shared" si="9"/>
        <v>400</v>
      </c>
      <c r="S115" s="26">
        <v>605</v>
      </c>
      <c r="T115" s="26">
        <f t="shared" si="10"/>
        <v>0</v>
      </c>
      <c r="U115" s="14">
        <f>MOD(R115,S115)</f>
        <v>400</v>
      </c>
      <c r="V115" s="2"/>
      <c r="W115" s="33">
        <v>2600</v>
      </c>
      <c r="X115" s="26">
        <v>25</v>
      </c>
      <c r="Y115" s="34">
        <v>25</v>
      </c>
      <c r="Z115" s="26"/>
      <c r="AA115" s="32"/>
      <c r="AB115" s="14"/>
      <c r="AC115" s="2"/>
      <c r="AD115" s="19" t="s">
        <v>19</v>
      </c>
      <c r="AE115" s="26">
        <f>AE113+AE114</f>
        <v>42</v>
      </c>
      <c r="AF115" s="26">
        <f t="shared" ref="AF115" si="14">AF113+AF114</f>
        <v>28</v>
      </c>
      <c r="AG115" s="14">
        <f t="shared" ref="AG115" si="15">AG113+AG114</f>
        <v>25</v>
      </c>
    </row>
    <row r="116" spans="9:33" x14ac:dyDescent="0.25">
      <c r="I116" s="13">
        <v>18</v>
      </c>
      <c r="J116" s="26">
        <v>5000</v>
      </c>
      <c r="K116" s="26">
        <v>20400</v>
      </c>
      <c r="L116" s="26">
        <v>0</v>
      </c>
      <c r="M116" s="26">
        <v>7100</v>
      </c>
      <c r="N116" s="26">
        <v>20400</v>
      </c>
      <c r="O116" s="26">
        <v>0</v>
      </c>
      <c r="P116" s="14">
        <v>3000</v>
      </c>
      <c r="Q116" s="2"/>
      <c r="R116" s="13">
        <f t="shared" si="9"/>
        <v>2100</v>
      </c>
      <c r="S116" s="26">
        <v>605</v>
      </c>
      <c r="T116" s="26">
        <f t="shared" si="10"/>
        <v>3</v>
      </c>
      <c r="U116" s="14">
        <f>MOD(R116,S116)</f>
        <v>285</v>
      </c>
      <c r="V116" s="2"/>
      <c r="W116" s="33">
        <v>2600</v>
      </c>
      <c r="X116" s="26">
        <v>25</v>
      </c>
      <c r="Y116" s="34">
        <v>25</v>
      </c>
      <c r="Z116" s="26"/>
      <c r="AA116" s="32"/>
      <c r="AB116" s="14"/>
      <c r="AC116" s="2"/>
      <c r="AD116" s="16" t="s">
        <v>20</v>
      </c>
      <c r="AE116" s="26">
        <v>12</v>
      </c>
      <c r="AF116" s="26">
        <v>12</v>
      </c>
      <c r="AG116" s="14">
        <v>12</v>
      </c>
    </row>
    <row r="117" spans="9:33" x14ac:dyDescent="0.25">
      <c r="I117" s="13">
        <v>19</v>
      </c>
      <c r="J117" s="26">
        <v>27950</v>
      </c>
      <c r="K117" s="26">
        <v>21700</v>
      </c>
      <c r="L117" s="26">
        <v>0</v>
      </c>
      <c r="M117" s="26">
        <v>27950</v>
      </c>
      <c r="N117" s="26">
        <v>25050</v>
      </c>
      <c r="O117" s="26">
        <v>0</v>
      </c>
      <c r="P117" s="14">
        <v>2500</v>
      </c>
      <c r="Q117" s="2"/>
      <c r="R117" s="13">
        <f t="shared" si="9"/>
        <v>3350</v>
      </c>
      <c r="S117" s="26">
        <v>605</v>
      </c>
      <c r="T117" s="26">
        <f t="shared" si="10"/>
        <v>5</v>
      </c>
      <c r="U117" s="14">
        <f>MOD(R117,S117)</f>
        <v>325</v>
      </c>
      <c r="V117" s="2"/>
      <c r="W117" s="33">
        <v>2600</v>
      </c>
      <c r="X117" s="26">
        <v>25</v>
      </c>
      <c r="Y117" s="34">
        <v>25</v>
      </c>
      <c r="Z117" s="26"/>
      <c r="AA117" s="32"/>
      <c r="AB117" s="14"/>
      <c r="AC117" s="2"/>
      <c r="AD117" s="20" t="s">
        <v>21</v>
      </c>
      <c r="AE117" s="27">
        <f>ROUNDUP(AE115/AE116,0)</f>
        <v>4</v>
      </c>
      <c r="AF117" s="27">
        <f t="shared" ref="AF117" si="16">ROUNDUP(AF115/AF116,0)</f>
        <v>3</v>
      </c>
      <c r="AG117" s="28">
        <f t="shared" ref="AG117" si="17">ROUNDUP(AG115/AG116,0)</f>
        <v>3</v>
      </c>
    </row>
    <row r="118" spans="9:33" x14ac:dyDescent="0.25">
      <c r="I118" s="13">
        <v>20</v>
      </c>
      <c r="J118" s="26">
        <v>29050</v>
      </c>
      <c r="K118" s="26">
        <v>20350</v>
      </c>
      <c r="L118" s="26">
        <v>0</v>
      </c>
      <c r="M118" s="26">
        <v>29050</v>
      </c>
      <c r="N118" s="26">
        <v>19950</v>
      </c>
      <c r="O118" s="26">
        <v>0</v>
      </c>
      <c r="P118" s="14">
        <v>3000</v>
      </c>
      <c r="Q118" s="2"/>
      <c r="R118" s="13">
        <f t="shared" si="9"/>
        <v>400</v>
      </c>
      <c r="S118" s="26">
        <v>605</v>
      </c>
      <c r="T118" s="26">
        <f t="shared" si="10"/>
        <v>0</v>
      </c>
      <c r="U118" s="14">
        <f>MOD(R118,S118)</f>
        <v>400</v>
      </c>
      <c r="V118" s="2"/>
      <c r="W118" s="33">
        <v>2600</v>
      </c>
      <c r="X118" s="26">
        <v>25</v>
      </c>
      <c r="Y118" s="34">
        <v>25</v>
      </c>
      <c r="Z118" s="26"/>
      <c r="AA118" s="32"/>
      <c r="AB118" s="14"/>
      <c r="AC118" s="2"/>
      <c r="AD118" s="2"/>
      <c r="AE118" s="2"/>
      <c r="AF118" s="2"/>
      <c r="AG118" s="2"/>
    </row>
    <row r="119" spans="9:33" x14ac:dyDescent="0.25">
      <c r="I119" s="13">
        <v>21</v>
      </c>
      <c r="J119" s="26">
        <v>29050</v>
      </c>
      <c r="K119" s="26">
        <v>19750</v>
      </c>
      <c r="L119" s="26">
        <v>0</v>
      </c>
      <c r="M119" s="26">
        <v>29050</v>
      </c>
      <c r="N119" s="26">
        <v>19250</v>
      </c>
      <c r="O119" s="26">
        <v>0</v>
      </c>
      <c r="P119" s="14">
        <v>2500</v>
      </c>
      <c r="Q119" s="2"/>
      <c r="R119" s="13">
        <f t="shared" si="9"/>
        <v>500</v>
      </c>
      <c r="S119" s="26">
        <v>605</v>
      </c>
      <c r="T119" s="26">
        <f t="shared" si="10"/>
        <v>0</v>
      </c>
      <c r="U119" s="14">
        <f>MOD(R119,S119)</f>
        <v>500</v>
      </c>
      <c r="V119" s="2"/>
      <c r="W119" s="33">
        <v>2600</v>
      </c>
      <c r="X119" s="26">
        <v>400</v>
      </c>
      <c r="Y119" s="34">
        <v>140</v>
      </c>
      <c r="Z119" s="26"/>
      <c r="AA119" s="32"/>
      <c r="AB119" s="14"/>
      <c r="AC119" s="2"/>
      <c r="AD119" s="2"/>
      <c r="AE119" s="2"/>
      <c r="AF119" s="2"/>
      <c r="AG119" s="2"/>
    </row>
    <row r="120" spans="9:33" x14ac:dyDescent="0.25">
      <c r="I120" s="13">
        <v>22</v>
      </c>
      <c r="J120" s="26">
        <v>29050</v>
      </c>
      <c r="K120" s="26">
        <v>17650</v>
      </c>
      <c r="L120" s="26">
        <v>0</v>
      </c>
      <c r="M120" s="26">
        <v>29050</v>
      </c>
      <c r="N120" s="26">
        <v>16950</v>
      </c>
      <c r="O120" s="26">
        <v>0</v>
      </c>
      <c r="P120" s="14">
        <v>2500</v>
      </c>
      <c r="Q120" s="2"/>
      <c r="R120" s="13">
        <f t="shared" si="9"/>
        <v>700</v>
      </c>
      <c r="S120" s="26">
        <v>605</v>
      </c>
      <c r="T120" s="26">
        <f t="shared" si="10"/>
        <v>1</v>
      </c>
      <c r="U120" s="14">
        <f>MOD(R120,S120)</f>
        <v>95</v>
      </c>
      <c r="V120" s="2"/>
      <c r="W120" s="33">
        <v>2600</v>
      </c>
      <c r="X120" s="26">
        <v>140</v>
      </c>
      <c r="Y120" s="34">
        <v>225</v>
      </c>
      <c r="Z120" s="26">
        <f>SUM(Y115:Y120)</f>
        <v>465</v>
      </c>
      <c r="AA120" s="32">
        <v>1</v>
      </c>
      <c r="AB120" s="14"/>
      <c r="AC120" s="2"/>
      <c r="AD120" s="2"/>
      <c r="AE120" s="2"/>
      <c r="AF120" s="2"/>
      <c r="AG120" s="2"/>
    </row>
    <row r="121" spans="9:33" x14ac:dyDescent="0.25">
      <c r="I121" s="13">
        <v>23</v>
      </c>
      <c r="J121" s="26">
        <v>34100</v>
      </c>
      <c r="K121" s="26">
        <v>22850</v>
      </c>
      <c r="L121" s="26">
        <v>0</v>
      </c>
      <c r="M121" s="26">
        <v>34100</v>
      </c>
      <c r="N121" s="26">
        <v>21500</v>
      </c>
      <c r="O121" s="26">
        <v>0</v>
      </c>
      <c r="P121" s="14">
        <v>2600</v>
      </c>
      <c r="Q121" s="2"/>
      <c r="R121" s="13">
        <f t="shared" si="9"/>
        <v>1350</v>
      </c>
      <c r="S121" s="26">
        <v>605</v>
      </c>
      <c r="T121" s="26">
        <f t="shared" si="10"/>
        <v>2</v>
      </c>
      <c r="U121" s="14">
        <f>MOD(R121,S121)</f>
        <v>140</v>
      </c>
      <c r="V121" s="2"/>
      <c r="W121" s="33">
        <v>2600</v>
      </c>
      <c r="X121" s="26">
        <v>225</v>
      </c>
      <c r="Y121" s="34">
        <v>400</v>
      </c>
      <c r="Z121" s="26">
        <f>SUM(Y121)</f>
        <v>400</v>
      </c>
      <c r="AA121" s="32"/>
      <c r="AB121" s="14">
        <f>SUM(AA115:AA121)</f>
        <v>1</v>
      </c>
      <c r="AC121" s="2"/>
      <c r="AD121" s="2"/>
      <c r="AE121" s="2"/>
      <c r="AF121" s="2"/>
      <c r="AG121" s="2"/>
    </row>
    <row r="122" spans="9:33" x14ac:dyDescent="0.25">
      <c r="I122" s="13">
        <v>24</v>
      </c>
      <c r="J122" s="26">
        <v>33500</v>
      </c>
      <c r="K122" s="26">
        <v>20300</v>
      </c>
      <c r="L122" s="26">
        <v>0</v>
      </c>
      <c r="M122" s="26">
        <v>35800</v>
      </c>
      <c r="N122" s="26">
        <v>20300</v>
      </c>
      <c r="O122" s="26">
        <v>0</v>
      </c>
      <c r="P122" s="14">
        <v>3000</v>
      </c>
      <c r="Q122" s="2"/>
      <c r="R122" s="13">
        <f t="shared" si="9"/>
        <v>2300</v>
      </c>
      <c r="S122" s="26">
        <v>605</v>
      </c>
      <c r="T122" s="26">
        <f t="shared" si="10"/>
        <v>3</v>
      </c>
      <c r="U122" s="14">
        <f>MOD(R122,S122)</f>
        <v>485</v>
      </c>
      <c r="V122" s="2"/>
      <c r="W122" s="35">
        <v>3000</v>
      </c>
      <c r="X122" s="26">
        <v>95</v>
      </c>
      <c r="Y122" s="36">
        <v>95</v>
      </c>
      <c r="Z122" s="26"/>
      <c r="AA122" s="32"/>
      <c r="AB122" s="14"/>
      <c r="AC122" s="2"/>
      <c r="AD122" s="2"/>
      <c r="AE122" s="2"/>
      <c r="AF122" s="2"/>
      <c r="AG122" s="2"/>
    </row>
    <row r="123" spans="9:33" x14ac:dyDescent="0.25">
      <c r="I123" s="13">
        <v>25</v>
      </c>
      <c r="J123" s="26">
        <v>36900</v>
      </c>
      <c r="K123" s="26">
        <v>20300</v>
      </c>
      <c r="L123" s="26">
        <v>0</v>
      </c>
      <c r="M123" s="26">
        <v>36700</v>
      </c>
      <c r="N123" s="26">
        <v>20300</v>
      </c>
      <c r="O123" s="26">
        <v>0</v>
      </c>
      <c r="P123" s="14">
        <v>3000</v>
      </c>
      <c r="Q123" s="2"/>
      <c r="R123" s="13">
        <f t="shared" si="9"/>
        <v>200</v>
      </c>
      <c r="S123" s="26">
        <v>605</v>
      </c>
      <c r="T123" s="26">
        <f t="shared" si="10"/>
        <v>0</v>
      </c>
      <c r="U123" s="14">
        <f>MOD(R123,S123)</f>
        <v>200</v>
      </c>
      <c r="V123" s="2"/>
      <c r="W123" s="35">
        <v>3000</v>
      </c>
      <c r="X123" s="26">
        <v>445</v>
      </c>
      <c r="Y123" s="36">
        <v>95</v>
      </c>
      <c r="Z123" s="26"/>
      <c r="AA123" s="32"/>
      <c r="AB123" s="14"/>
      <c r="AC123" s="2"/>
      <c r="AD123" s="2"/>
      <c r="AE123" s="2"/>
      <c r="AF123" s="2"/>
      <c r="AG123" s="2"/>
    </row>
    <row r="124" spans="9:33" x14ac:dyDescent="0.25">
      <c r="I124" s="13">
        <v>26</v>
      </c>
      <c r="J124" s="26">
        <v>36900</v>
      </c>
      <c r="K124" s="26">
        <v>20300</v>
      </c>
      <c r="L124" s="26">
        <v>0</v>
      </c>
      <c r="M124" s="26">
        <v>36900</v>
      </c>
      <c r="N124" s="26">
        <v>23300</v>
      </c>
      <c r="O124" s="26">
        <v>0</v>
      </c>
      <c r="P124" s="14">
        <v>3000</v>
      </c>
      <c r="Q124" s="2"/>
      <c r="R124" s="13">
        <f t="shared" si="9"/>
        <v>3000</v>
      </c>
      <c r="S124" s="26">
        <v>605</v>
      </c>
      <c r="T124" s="26">
        <f t="shared" si="10"/>
        <v>4</v>
      </c>
      <c r="U124" s="14">
        <f>MOD(R124,S124)</f>
        <v>580</v>
      </c>
      <c r="V124" s="2"/>
      <c r="W124" s="35">
        <v>3000</v>
      </c>
      <c r="X124" s="26">
        <v>445</v>
      </c>
      <c r="Y124" s="36">
        <v>200</v>
      </c>
      <c r="Z124" s="26">
        <f>SUM(Y122:Y124)</f>
        <v>390</v>
      </c>
      <c r="AA124" s="32">
        <v>1</v>
      </c>
      <c r="AB124" s="14"/>
      <c r="AC124" s="2"/>
      <c r="AD124" s="2"/>
      <c r="AE124" s="2"/>
      <c r="AF124" s="2"/>
      <c r="AG124" s="2"/>
    </row>
    <row r="125" spans="9:33" x14ac:dyDescent="0.25">
      <c r="I125" s="13">
        <v>27</v>
      </c>
      <c r="J125" s="26">
        <v>35150</v>
      </c>
      <c r="K125" s="26">
        <v>21500</v>
      </c>
      <c r="L125" s="26">
        <v>0</v>
      </c>
      <c r="M125" s="26">
        <v>36900</v>
      </c>
      <c r="N125" s="26">
        <v>21500</v>
      </c>
      <c r="O125" s="26">
        <v>0</v>
      </c>
      <c r="P125" s="14">
        <v>2400</v>
      </c>
      <c r="Q125" s="2"/>
      <c r="R125" s="13">
        <f t="shared" si="9"/>
        <v>1750</v>
      </c>
      <c r="S125" s="26">
        <v>605</v>
      </c>
      <c r="T125" s="26">
        <f t="shared" si="10"/>
        <v>2</v>
      </c>
      <c r="U125" s="14">
        <f>MOD(R125,S125)</f>
        <v>540</v>
      </c>
      <c r="V125" s="2"/>
      <c r="W125" s="35">
        <v>3000</v>
      </c>
      <c r="X125" s="26">
        <v>285</v>
      </c>
      <c r="Y125" s="36">
        <v>280</v>
      </c>
      <c r="Z125" s="26"/>
      <c r="AA125" s="32"/>
      <c r="AB125" s="14"/>
      <c r="AC125" s="2"/>
      <c r="AD125" s="2"/>
      <c r="AE125" s="2"/>
      <c r="AF125" s="2"/>
      <c r="AG125" s="2"/>
    </row>
    <row r="126" spans="9:33" x14ac:dyDescent="0.25">
      <c r="I126" s="13">
        <v>28</v>
      </c>
      <c r="J126" s="26">
        <v>25350</v>
      </c>
      <c r="K126" s="26">
        <v>2700</v>
      </c>
      <c r="L126" s="26">
        <v>0</v>
      </c>
      <c r="M126" s="26">
        <v>25350</v>
      </c>
      <c r="N126" s="26">
        <v>5150</v>
      </c>
      <c r="O126" s="26">
        <v>0</v>
      </c>
      <c r="P126" s="14">
        <v>2500</v>
      </c>
      <c r="Q126" s="2"/>
      <c r="R126" s="13">
        <f t="shared" si="9"/>
        <v>2450</v>
      </c>
      <c r="S126" s="26">
        <v>605</v>
      </c>
      <c r="T126" s="26">
        <f t="shared" si="10"/>
        <v>4</v>
      </c>
      <c r="U126" s="14">
        <f>MOD(R126,S126)</f>
        <v>30</v>
      </c>
      <c r="V126" s="2"/>
      <c r="W126" s="35">
        <v>3000</v>
      </c>
      <c r="X126" s="26">
        <v>400</v>
      </c>
      <c r="Y126" s="36">
        <v>285</v>
      </c>
      <c r="Z126" s="26">
        <f>SUM(Y125:Y126)</f>
        <v>565</v>
      </c>
      <c r="AA126" s="32">
        <v>1</v>
      </c>
      <c r="AB126" s="14"/>
      <c r="AC126" s="2"/>
      <c r="AD126" s="2"/>
      <c r="AE126" s="2"/>
      <c r="AF126" s="2"/>
      <c r="AG126" s="2"/>
    </row>
    <row r="127" spans="9:33" x14ac:dyDescent="0.25">
      <c r="I127" s="13">
        <v>29</v>
      </c>
      <c r="J127" s="26">
        <v>25350</v>
      </c>
      <c r="K127" s="26">
        <v>5150</v>
      </c>
      <c r="L127" s="26">
        <v>0</v>
      </c>
      <c r="M127" s="26">
        <v>26050</v>
      </c>
      <c r="N127" s="26">
        <v>5150</v>
      </c>
      <c r="O127" s="26">
        <v>0</v>
      </c>
      <c r="P127" s="14">
        <v>3000</v>
      </c>
      <c r="Q127" s="2"/>
      <c r="R127" s="13">
        <f t="shared" si="9"/>
        <v>700</v>
      </c>
      <c r="S127" s="26">
        <v>605</v>
      </c>
      <c r="T127" s="26">
        <f t="shared" si="10"/>
        <v>1</v>
      </c>
      <c r="U127" s="14">
        <f>MOD(R127,S127)</f>
        <v>95</v>
      </c>
      <c r="V127" s="2"/>
      <c r="W127" s="35">
        <v>3000</v>
      </c>
      <c r="X127" s="26">
        <v>485</v>
      </c>
      <c r="Y127" s="36">
        <v>400</v>
      </c>
      <c r="Z127" s="26">
        <f>SUM(Y127)</f>
        <v>400</v>
      </c>
      <c r="AA127" s="26">
        <v>1</v>
      </c>
      <c r="AB127" s="14"/>
      <c r="AC127" s="2"/>
      <c r="AD127" s="2"/>
      <c r="AE127" s="2"/>
      <c r="AF127" s="2"/>
      <c r="AG127" s="2"/>
    </row>
    <row r="128" spans="9:33" x14ac:dyDescent="0.25">
      <c r="I128" s="13">
        <v>30</v>
      </c>
      <c r="J128" s="26">
        <v>2700</v>
      </c>
      <c r="K128" s="26">
        <v>23100</v>
      </c>
      <c r="L128" s="26">
        <v>0</v>
      </c>
      <c r="M128" s="26">
        <v>2700</v>
      </c>
      <c r="N128" s="26">
        <v>20400</v>
      </c>
      <c r="O128" s="26">
        <v>0</v>
      </c>
      <c r="P128" s="14">
        <v>3000</v>
      </c>
      <c r="Q128" s="2"/>
      <c r="R128" s="13">
        <f t="shared" si="9"/>
        <v>2700</v>
      </c>
      <c r="S128" s="26">
        <v>605</v>
      </c>
      <c r="T128" s="26">
        <f t="shared" si="10"/>
        <v>4</v>
      </c>
      <c r="U128" s="14">
        <f>MOD(R128,S128)</f>
        <v>280</v>
      </c>
      <c r="V128" s="2"/>
      <c r="W128" s="35">
        <v>3000</v>
      </c>
      <c r="X128" s="26">
        <v>200</v>
      </c>
      <c r="Y128" s="36">
        <v>445</v>
      </c>
      <c r="Z128" s="26">
        <f t="shared" ref="Z128:Z131" si="18">SUM(Y128)</f>
        <v>445</v>
      </c>
      <c r="AA128" s="26">
        <v>1</v>
      </c>
      <c r="AB128" s="14"/>
      <c r="AC128" s="2"/>
      <c r="AD128" s="2"/>
      <c r="AE128" s="2"/>
      <c r="AF128" s="2"/>
      <c r="AG128" s="2"/>
    </row>
    <row r="129" spans="9:33" x14ac:dyDescent="0.25">
      <c r="I129" s="13">
        <v>31</v>
      </c>
      <c r="J129" s="26">
        <v>2700</v>
      </c>
      <c r="K129" s="26">
        <v>21600</v>
      </c>
      <c r="L129" s="26">
        <v>0</v>
      </c>
      <c r="M129" s="26">
        <v>4700</v>
      </c>
      <c r="N129" s="26">
        <v>21600</v>
      </c>
      <c r="O129" s="26">
        <v>0</v>
      </c>
      <c r="P129" s="14">
        <v>2500</v>
      </c>
      <c r="Q129" s="2"/>
      <c r="R129" s="13">
        <f t="shared" si="9"/>
        <v>2000</v>
      </c>
      <c r="S129" s="26">
        <v>605</v>
      </c>
      <c r="T129" s="26">
        <f t="shared" si="10"/>
        <v>3</v>
      </c>
      <c r="U129" s="14">
        <f>MOD(R129,S129)</f>
        <v>185</v>
      </c>
      <c r="V129" s="2"/>
      <c r="W129" s="35">
        <v>3000</v>
      </c>
      <c r="X129" s="26">
        <v>580</v>
      </c>
      <c r="Y129" s="36">
        <v>445</v>
      </c>
      <c r="Z129" s="26">
        <f t="shared" si="18"/>
        <v>445</v>
      </c>
      <c r="AA129" s="26">
        <v>1</v>
      </c>
      <c r="AB129" s="14"/>
      <c r="AC129" s="2"/>
      <c r="AD129" s="2"/>
      <c r="AE129" s="2"/>
      <c r="AF129" s="2"/>
      <c r="AG129" s="2"/>
    </row>
    <row r="130" spans="9:33" x14ac:dyDescent="0.25">
      <c r="I130" s="13">
        <v>32</v>
      </c>
      <c r="J130" s="26">
        <v>10200</v>
      </c>
      <c r="K130" s="26">
        <v>24850</v>
      </c>
      <c r="L130" s="26">
        <v>0</v>
      </c>
      <c r="M130" s="26">
        <v>10200</v>
      </c>
      <c r="N130" s="26">
        <v>21600</v>
      </c>
      <c r="O130" s="26">
        <v>0</v>
      </c>
      <c r="P130" s="14">
        <v>2600</v>
      </c>
      <c r="Q130" s="2"/>
      <c r="R130" s="13">
        <f t="shared" si="9"/>
        <v>3250</v>
      </c>
      <c r="S130" s="26">
        <v>605</v>
      </c>
      <c r="T130" s="26">
        <f t="shared" si="10"/>
        <v>5</v>
      </c>
      <c r="U130" s="14">
        <f>MOD(R130,S130)</f>
        <v>225</v>
      </c>
      <c r="V130" s="2"/>
      <c r="W130" s="35">
        <v>3000</v>
      </c>
      <c r="X130" s="26">
        <v>95</v>
      </c>
      <c r="Y130" s="36">
        <v>485</v>
      </c>
      <c r="Z130" s="26">
        <f t="shared" si="18"/>
        <v>485</v>
      </c>
      <c r="AA130" s="26">
        <v>1</v>
      </c>
      <c r="AB130" s="14"/>
      <c r="AC130" s="2"/>
      <c r="AD130" s="2"/>
      <c r="AE130" s="2"/>
      <c r="AF130" s="2"/>
      <c r="AG130" s="2"/>
    </row>
    <row r="131" spans="9:33" x14ac:dyDescent="0.25">
      <c r="I131" s="21">
        <v>33</v>
      </c>
      <c r="J131" s="27">
        <v>13100</v>
      </c>
      <c r="K131" s="27">
        <v>21600</v>
      </c>
      <c r="L131" s="27">
        <v>0</v>
      </c>
      <c r="M131" s="27">
        <v>8550</v>
      </c>
      <c r="N131" s="27">
        <v>21600</v>
      </c>
      <c r="O131" s="27">
        <v>0</v>
      </c>
      <c r="P131" s="28">
        <v>2500</v>
      </c>
      <c r="Q131" s="2"/>
      <c r="R131" s="21">
        <f t="shared" si="9"/>
        <v>4550</v>
      </c>
      <c r="S131" s="27">
        <v>605</v>
      </c>
      <c r="T131" s="27">
        <f t="shared" si="10"/>
        <v>7</v>
      </c>
      <c r="U131" s="28">
        <f>MOD(R131,S131)</f>
        <v>315</v>
      </c>
      <c r="V131" s="2"/>
      <c r="W131" s="37">
        <v>3000</v>
      </c>
      <c r="X131" s="27">
        <v>280</v>
      </c>
      <c r="Y131" s="38">
        <v>580</v>
      </c>
      <c r="Z131" s="27">
        <f t="shared" si="18"/>
        <v>580</v>
      </c>
      <c r="AA131" s="27">
        <v>1</v>
      </c>
      <c r="AB131" s="28">
        <f>SUM(AA121:AA131)</f>
        <v>7</v>
      </c>
      <c r="AC131" s="2"/>
      <c r="AD131" s="2"/>
      <c r="AE131" s="2"/>
      <c r="AF131" s="2"/>
      <c r="AG131" s="2"/>
    </row>
  </sheetData>
  <sortState xmlns:xlrd2="http://schemas.microsoft.com/office/spreadsheetml/2017/richdata2" ref="Y82:Y91">
    <sortCondition ref="Y82:Y91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Baseline_ALC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Lufeng Wang</dc:creator>
  <cp:lastModifiedBy>Lufeng Wang</cp:lastModifiedBy>
  <dcterms:created xsi:type="dcterms:W3CDTF">2024-04-15T06:40:59Z</dcterms:created>
  <dcterms:modified xsi:type="dcterms:W3CDTF">2024-09-11T07:32:28Z</dcterms:modified>
</cp:coreProperties>
</file>